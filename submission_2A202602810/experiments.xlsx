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Experiments" sheetId="2" state="visible" r:id="rId2"/>
    <sheet xmlns:r="http://schemas.openxmlformats.org/officeDocument/2006/relationships" name="Seeds" sheetId="3" state="visible" r:id="rId3"/>
    <sheet xmlns:r="http://schemas.openxmlformats.org/officeDocument/2006/relationships" name="Summary" sheetId="4" state="visible" r:id="rId4"/>
  </sheets>
  <definedNames>
    <definedName name="_xlnm._FilterDatabase" localSheetId="1" hidden="1">'Experiments'!$A$1:$AG$61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24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9" min="1" max="1"/>
    <col width="60" customWidth="1" style="19" min="2" max="2"/>
    <col width="52" customWidth="1" style="19" min="3" max="3"/>
    <col width="14" customWidth="1" style="19" min="4" max="12"/>
  </cols>
  <sheetData>
    <row r="1" ht="17.35" customHeight="1" s="20">
      <c r="A1" s="21" t="inlineStr">
        <is>
          <t>Bảng so sánh thí nghiệm — Lab Day 1</t>
        </is>
      </c>
    </row>
    <row r="2" ht="15" customHeight="1" s="20">
      <c r="A2" s="22" t="inlineStr">
        <is>
          <t>Lưu file này thành experiments.xlsx. Mỗi lần chạy là một dòng ở sheet Experiments (số dòng tuỳ bạn, có sẵn 60 dòng). Sheet Seeds và Summary tự tổng hợp.</t>
        </is>
      </c>
    </row>
    <row r="4" ht="15" customHeight="1" s="20">
      <c r="A4" s="23" t="inlineStr">
        <is>
          <t>Quy ước màu</t>
        </is>
      </c>
    </row>
    <row r="5" ht="15" customHeight="1" s="20">
      <c r="A5" s="24" t="inlineStr">
        <is>
          <t xml:space="preserve">   </t>
        </is>
      </c>
      <c r="B5" s="22" t="inlineStr">
        <is>
          <t>Ô vàng: bạn điền (cấu hình và kết quả đo).</t>
        </is>
      </c>
    </row>
    <row r="6" ht="15" customHeight="1" s="20">
      <c r="A6" s="25" t="inlineStr">
        <is>
          <t>abc</t>
        </is>
      </c>
      <c r="B6" s="22" t="inlineStr">
        <is>
          <t>Chữ xanh dương: giá trị đã điền sẵn cho dòng baseline; bạn có thể sửa.</t>
        </is>
      </c>
    </row>
    <row r="7" ht="15" customHeight="1" s="20">
      <c r="A7" s="26" t="inlineStr">
        <is>
          <t xml:space="preserve">   </t>
        </is>
      </c>
      <c r="B7" s="22" t="inlineStr">
        <is>
          <t>Ô xám: công thức tự tính. Không sửa.</t>
        </is>
      </c>
    </row>
    <row r="9" ht="15" customHeight="1" s="20">
      <c r="A9" s="23" t="inlineStr">
        <is>
          <t>Cách dùng</t>
        </is>
      </c>
    </row>
    <row r="10" ht="15" customHeight="1" s="20">
      <c r="A10" s="22" t="inlineStr">
        <is>
          <t>1. Sheet Experiments: dòng đầu là baseline mẫu. Điền lr và kết quả; thêm dòng cho mỗi thí nghiệm khác.</t>
        </is>
      </c>
    </row>
    <row r="11" ht="15" customHeight="1" s="20">
      <c r="A11" s="22" t="inlineStr">
        <is>
          <t>2. Mỗi dòng phải có ảnh riêng figures/&lt;exp_id&gt;.png. Điền tên file vào cột figure_file.</t>
        </is>
      </c>
    </row>
    <row r="12" ht="15" customHeight="1" s="20">
      <c r="A12" s="22" t="inlineStr">
        <is>
          <t>3. Sheet Seeds: nhập exp_id của các lần chạy baseline với seed khác nhau (đã gợi ý base-s1..3). Sheet tự tính trung bình, σ và 2σ.</t>
        </is>
      </c>
    </row>
    <row r="13" ht="15" customHeight="1" s="20">
      <c r="A13" s="22" t="inlineStr">
        <is>
          <t>4. Cột beyond_noise cho biết chênh lệch val_macro_f1 so với baseline có vượt 2σ không. Chỉ 'Có' mới là bằng chứng.</t>
        </is>
      </c>
    </row>
    <row r="14" ht="15" customHeight="1" s="20">
      <c r="A14" s="22" t="inlineStr">
        <is>
          <t>5. Sheet Summary: số dòng theo nhóm và số chủ đề (trong 7) đã được thử.</t>
        </is>
      </c>
    </row>
    <row r="16" ht="15" customHeight="1" s="20">
      <c r="A16" s="23" t="inlineStr">
        <is>
          <t>Từ điển cột (sheet Experiments)</t>
        </is>
      </c>
    </row>
    <row r="17" ht="15" customHeight="1" s="20">
      <c r="A17" s="27" t="inlineStr">
        <is>
          <t>Cột</t>
        </is>
      </c>
      <c r="B17" s="27" t="inlineStr">
        <is>
          <t>Ý nghĩa</t>
        </is>
      </c>
      <c r="C17" s="27" t="inlineStr">
        <is>
          <t>Cách điền</t>
        </is>
      </c>
    </row>
    <row r="18" ht="15" customHeight="1" s="20">
      <c r="A18" s="28" t="inlineStr">
        <is>
          <t>exp_id</t>
        </is>
      </c>
      <c r="B18" s="29" t="inlineStr">
        <is>
          <t>Mã thí nghiệm, duy nhất; trùng tên file ảnh</t>
        </is>
      </c>
      <c r="C18" s="29" t="inlineStr">
        <is>
          <t>Tự đặt, ví dụ base-s1, opt-adam-lr1e-3, drop-0.3.</t>
        </is>
      </c>
    </row>
    <row r="19" ht="23.85" customHeight="1" s="20">
      <c r="A19" s="28" t="inlineStr">
        <is>
          <t>group</t>
        </is>
      </c>
      <c r="B19" s="29" t="inlineStr">
        <is>
          <t>Nhóm: baseline | loss | optimizer | hparam | dropout | clipping | amp | init | final | other</t>
        </is>
      </c>
      <c r="C19" s="29" t="inlineStr">
        <is>
          <t>Chọn từ danh sách.</t>
        </is>
      </c>
    </row>
    <row r="20" ht="15" customHeight="1" s="20">
      <c r="A20" s="28" t="inlineStr">
        <is>
          <t>description</t>
        </is>
      </c>
      <c r="B20" s="29" t="inlineStr">
        <is>
          <t>Bạn đổi gì so với baseline</t>
        </is>
      </c>
      <c r="C20" s="29" t="inlineStr">
        <is>
          <t>Một câu.</t>
        </is>
      </c>
    </row>
    <row r="21" ht="15" customHeight="1" s="20">
      <c r="A21" s="28" t="inlineStr">
        <is>
          <t>loss</t>
        </is>
      </c>
      <c r="B21" s="29" t="inlineStr">
        <is>
          <t>Hàm mất mát: CE | MSE</t>
        </is>
      </c>
      <c r="C21" s="29" t="inlineStr">
        <is>
          <t>Chọn từ danh sách.</t>
        </is>
      </c>
    </row>
    <row r="22" ht="15" customHeight="1" s="20">
      <c r="A22" s="28" t="inlineStr">
        <is>
          <t>optimizer</t>
        </is>
      </c>
      <c r="B22" s="29" t="inlineStr">
        <is>
          <t>SGD | SGD+momentum | Adam | AdamW</t>
        </is>
      </c>
      <c r="C22" s="29" t="inlineStr">
        <is>
          <t>Chọn từ danh sách.</t>
        </is>
      </c>
    </row>
    <row r="23" ht="15" customHeight="1" s="20">
      <c r="A23" s="28" t="inlineStr">
        <is>
          <t>lr</t>
        </is>
      </c>
      <c r="B23" s="29" t="inlineStr">
        <is>
          <t>Tốc độ học η</t>
        </is>
      </c>
      <c r="C23" s="29" t="inlineStr">
        <is>
          <t>Ghi số, ví dụ 0.05 hoặc 1e-3.</t>
        </is>
      </c>
    </row>
    <row r="24" ht="15" customHeight="1" s="20">
      <c r="A24" s="28" t="inlineStr">
        <is>
          <t>weight_decay</t>
        </is>
      </c>
      <c r="B24" s="29" t="inlineStr">
        <is>
          <t>Hệ số suy giảm trọng số λ</t>
        </is>
      </c>
      <c r="C24" s="29" t="inlineStr">
        <is>
          <t>0 nếu không dùng.</t>
        </is>
      </c>
    </row>
    <row r="25" ht="15" customHeight="1" s="20">
      <c r="A25" s="28" t="inlineStr">
        <is>
          <t>batch</t>
        </is>
      </c>
      <c r="B25" s="29" t="inlineStr">
        <is>
          <t>Kích thước lô</t>
        </is>
      </c>
      <c r="C25" s="29" t="inlineStr">
        <is>
          <t>Số nguyên.</t>
        </is>
      </c>
    </row>
    <row r="26" ht="15" customHeight="1" s="20">
      <c r="A26" s="28" t="inlineStr">
        <is>
          <t>epochs</t>
        </is>
      </c>
      <c r="B26" s="29" t="inlineStr">
        <is>
          <t>Số epoch</t>
        </is>
      </c>
      <c r="C26" s="29" t="inlineStr">
        <is>
          <t>Khuyến nghị 20 cho mọi thí nghiệm.</t>
        </is>
      </c>
    </row>
    <row r="27" ht="15" customHeight="1" s="20">
      <c r="A27" s="28" t="inlineStr">
        <is>
          <t>hidden</t>
        </is>
      </c>
      <c r="B27" s="29" t="inlineStr">
        <is>
          <t>Các lớp ẩn, ví dụ 256-128</t>
        </is>
      </c>
      <c r="C27" s="29" t="inlineStr">
        <is>
          <t>Chuỗi nối bằng dấu gạch.</t>
        </is>
      </c>
    </row>
    <row r="28" ht="15" customHeight="1" s="20">
      <c r="A28" s="28" t="inlineStr">
        <is>
          <t>dropout</t>
        </is>
      </c>
      <c r="B28" s="29" t="inlineStr">
        <is>
          <t>Xác suất tắt nơ-ron q</t>
        </is>
      </c>
      <c r="C28" s="29" t="inlineStr">
        <is>
          <t>0 nếu không dùng.</t>
        </is>
      </c>
    </row>
    <row r="29" ht="15" customHeight="1" s="20">
      <c r="A29" s="28" t="inlineStr">
        <is>
          <t>clip_norm</t>
        </is>
      </c>
      <c r="B29" s="29" t="inlineStr">
        <is>
          <t>Ngưỡng cắt gradient c</t>
        </is>
      </c>
      <c r="C29" s="29" t="inlineStr">
        <is>
          <t>'none' nếu không clip, hoặc số.</t>
        </is>
      </c>
    </row>
    <row r="30" ht="15" customHeight="1" s="20">
      <c r="A30" s="28" t="inlineStr">
        <is>
          <t>precision</t>
        </is>
      </c>
      <c r="B30" s="29" t="inlineStr">
        <is>
          <t>fp32 | fp16 | bf16</t>
        </is>
      </c>
      <c r="C30" s="29" t="inlineStr">
        <is>
          <t>Chọn từ danh sách.</t>
        </is>
      </c>
    </row>
    <row r="31" ht="15" customHeight="1" s="20">
      <c r="A31" s="28" t="inlineStr">
        <is>
          <t>init</t>
        </is>
      </c>
      <c r="B31" s="29" t="inlineStr">
        <is>
          <t>zeros | normal | xavier | he | default</t>
        </is>
      </c>
      <c r="C31" s="29" t="inlineStr">
        <is>
          <t>Chọn từ danh sách; 'default' = mặc định của nn.Linear.</t>
        </is>
      </c>
    </row>
    <row r="32" ht="15" customHeight="1" s="20">
      <c r="A32" s="28" t="inlineStr">
        <is>
          <t>seed</t>
        </is>
      </c>
      <c r="B32" s="29" t="inlineStr">
        <is>
          <t>Seed của lần chạy</t>
        </is>
      </c>
      <c r="C32" s="29" t="inlineStr">
        <is>
          <t>Số nguyên.</t>
        </is>
      </c>
    </row>
    <row r="33" ht="15" customHeight="1" s="20">
      <c r="A33" s="28" t="inlineStr">
        <is>
          <t>step0_loss</t>
        </is>
      </c>
      <c r="B33" s="29" t="inlineStr">
        <is>
          <t>Loss trên val ở bước 0 (trước cập nhật đầu tiên)</t>
        </is>
      </c>
      <c r="C33" s="29" t="inlineStr">
        <is>
          <t>Kỳ vọng ≈ ln 7 = 1.946 nếu khởi tạo hợp lý.</t>
        </is>
      </c>
    </row>
    <row r="34" ht="15" customHeight="1" s="20">
      <c r="A34" s="28" t="inlineStr">
        <is>
          <t>best_val_loss</t>
        </is>
      </c>
      <c r="B34" s="29" t="inlineStr">
        <is>
          <t>Val loss thấp nhất qua các epoch</t>
        </is>
      </c>
      <c r="C34" s="29" t="n"/>
    </row>
    <row r="35" ht="15" customHeight="1" s="20">
      <c r="A35" s="28" t="inlineStr">
        <is>
          <t>best_epoch</t>
        </is>
      </c>
      <c r="B35" s="29" t="inlineStr">
        <is>
          <t>Epoch đạt best_val_loss</t>
        </is>
      </c>
      <c r="C35" s="29" t="inlineStr">
        <is>
          <t>Đếm từ 1.</t>
        </is>
      </c>
    </row>
    <row r="36" ht="15" customHeight="1" s="20">
      <c r="A36" s="28" t="inlineStr">
        <is>
          <t>final_train_loss</t>
        </is>
      </c>
      <c r="B36" s="29" t="inlineStr">
        <is>
          <t>Train loss ở epoch cuối (đo ở chế độ eval)</t>
        </is>
      </c>
      <c r="C36" s="29" t="n"/>
    </row>
    <row r="37" ht="15" customHeight="1" s="20">
      <c r="A37" s="28" t="inlineStr">
        <is>
          <t>final_val_loss</t>
        </is>
      </c>
      <c r="B37" s="29" t="inlineStr">
        <is>
          <t>Val loss ở epoch cuối</t>
        </is>
      </c>
      <c r="C37" s="29" t="n"/>
    </row>
    <row r="38" ht="15" customHeight="1" s="20">
      <c r="A38" s="28" t="inlineStr">
        <is>
          <t>val_acc</t>
        </is>
      </c>
      <c r="B38" s="29" t="inlineStr">
        <is>
          <t>Val accuracy ở best_epoch</t>
        </is>
      </c>
      <c r="C38" s="29" t="inlineStr">
        <is>
          <t>Phân số 0–1, ví dụ 0.8123.</t>
        </is>
      </c>
    </row>
    <row r="39" ht="15" customHeight="1" s="20">
      <c r="A39" s="28" t="inlineStr">
        <is>
          <t>val_macro_f1</t>
        </is>
      </c>
      <c r="B39" s="29" t="inlineStr">
        <is>
          <t>Val macro-F1 ở best_epoch</t>
        </is>
      </c>
      <c r="C39" s="29" t="inlineStr">
        <is>
          <t>Phân số 0–1.</t>
        </is>
      </c>
    </row>
    <row r="40" ht="15" customHeight="1" s="20">
      <c r="A40" s="28" t="inlineStr">
        <is>
          <t>time_per_epoch_s</t>
        </is>
      </c>
      <c r="B40" s="29" t="inlineStr">
        <is>
          <t>Thời gian trung bình mỗi epoch (giây)</t>
        </is>
      </c>
      <c r="C40" s="29" t="inlineStr">
        <is>
          <t>Có torch.cuda.synchronize().</t>
        </is>
      </c>
    </row>
    <row r="41" ht="15" customHeight="1" s="20">
      <c r="A41" s="28" t="inlineStr">
        <is>
          <t>peak_mem_MB</t>
        </is>
      </c>
      <c r="B41" s="29" t="inlineStr">
        <is>
          <t>Bộ nhớ GPU cực đại (MB)</t>
        </is>
      </c>
      <c r="C41" s="29" t="inlineStr">
        <is>
          <t>torch.cuda.max_memory_allocated()/2**20.</t>
        </is>
      </c>
    </row>
    <row r="42" ht="15" customHeight="1" s="20">
      <c r="A42" s="28" t="inlineStr">
        <is>
          <t>diverged</t>
        </is>
      </c>
      <c r="B42" s="29" t="inlineStr">
        <is>
          <t>Loss thành NaN/inf? Y | N</t>
        </is>
      </c>
      <c r="C42" s="29" t="inlineStr">
        <is>
          <t>Chọn từ danh sách.</t>
        </is>
      </c>
    </row>
    <row r="43" ht="23.85" customHeight="1" s="20">
      <c r="A43" s="28" t="inlineStr">
        <is>
          <t>eval_acc</t>
        </is>
      </c>
      <c r="B43" s="29" t="inlineStr">
        <is>
          <t>Accuracy trên tập eval</t>
        </is>
      </c>
      <c r="C43" s="29" t="inlineStr">
        <is>
          <t>CHỈ điền cho baseline và cấu hình cuối cùng, lấy từ eval_result.json.</t>
        </is>
      </c>
    </row>
    <row r="44" ht="23.85" customHeight="1" s="20">
      <c r="A44" s="28" t="inlineStr">
        <is>
          <t>eval_macro_f1</t>
        </is>
      </c>
      <c r="B44" s="29" t="inlineStr">
        <is>
          <t>macro-F1 trên tập eval</t>
        </is>
      </c>
      <c r="C44" s="29" t="inlineStr">
        <is>
          <t>CHỈ điền cho baseline và cấu hình cuối cùng, lấy từ eval_result.json.</t>
        </is>
      </c>
    </row>
    <row r="45" ht="15" customHeight="1" s="20">
      <c r="A45" s="28" t="inlineStr">
        <is>
          <t>figure_file</t>
        </is>
      </c>
      <c r="B45" s="29" t="inlineStr">
        <is>
          <t>Tên file ảnh</t>
        </is>
      </c>
      <c r="C45" s="29" t="inlineStr">
        <is>
          <t>figures/&lt;exp_id&gt;.png</t>
        </is>
      </c>
    </row>
    <row r="46" ht="15" customHeight="1" s="20">
      <c r="A46" s="28" t="inlineStr">
        <is>
          <t>notes</t>
        </is>
      </c>
      <c r="B46" s="29" t="inlineStr">
        <is>
          <t>Ghi chú</t>
        </is>
      </c>
      <c r="C46" s="29" t="inlineStr">
        <is>
          <t>Dự đoán trước, quan sát, lý do thiếu số liệu, lỗi gặp phải...</t>
        </is>
      </c>
    </row>
    <row r="47" ht="15" customHeight="1" s="20">
      <c r="A47" s="28" t="inlineStr">
        <is>
          <t>step0_gap_vs_lnC</t>
        </is>
      </c>
      <c r="B47" s="29" t="inlineStr">
        <is>
          <t>step0_loss − ln 7</t>
        </is>
      </c>
      <c r="C47" s="29" t="inlineStr">
        <is>
          <t>Tự tính. Gần 0 là tốt.</t>
        </is>
      </c>
    </row>
    <row r="48" ht="15" customHeight="1" s="20">
      <c r="A48" s="28" t="inlineStr">
        <is>
          <t>gap_val_minus_train</t>
        </is>
      </c>
      <c r="B48" s="29" t="inlineStr">
        <is>
          <t>final_val_loss − final_train_loss</t>
        </is>
      </c>
      <c r="C48" s="29" t="inlineStr">
        <is>
          <t>Tự tính. Khoảng cách quá khớp.</t>
        </is>
      </c>
    </row>
    <row r="49" ht="15" customHeight="1" s="20">
      <c r="A49" s="28" t="inlineStr">
        <is>
          <t>delta_val_f1_vs_base</t>
        </is>
      </c>
      <c r="B49" s="29" t="inlineStr">
        <is>
          <t>val_macro_f1 − trung bình baseline</t>
        </is>
      </c>
      <c r="C49" s="29" t="inlineStr">
        <is>
          <t>Tự tính từ sheet Seeds.</t>
        </is>
      </c>
    </row>
    <row r="50" ht="15" customHeight="1" s="20">
      <c r="A50" s="28" t="inlineStr">
        <is>
          <t>beyond_noise</t>
        </is>
      </c>
      <c r="B50" s="29" t="inlineStr">
        <is>
          <t>|delta| &gt; 2σ_seed ?</t>
        </is>
      </c>
      <c r="C50" s="29" t="inlineStr">
        <is>
          <t>Tự tính: Có / Không. Cần ≥ 2 seed baseline trong sheet Seeds.</t>
        </is>
      </c>
    </row>
    <row r="52" ht="15" customHeight="1" s="20">
      <c r="A52" s="23" t="inlineStr">
        <is>
          <t>Ví dụ một dòng điền xong (SỐ MINH HOẠ ĐỊNH DẠNG, KHÔNG PHẢI KẾT QUẢ THẬT — đừng sao chép)</t>
        </is>
      </c>
    </row>
    <row r="53" ht="23.85" customHeight="1" s="20">
      <c r="A53" s="30" t="inlineStr">
        <is>
          <t>exp_id</t>
        </is>
      </c>
      <c r="B53" s="30" t="inlineStr">
        <is>
          <t>group</t>
        </is>
      </c>
      <c r="C53" s="30" t="inlineStr">
        <is>
          <t>optimizer</t>
        </is>
      </c>
      <c r="D53" s="30" t="inlineStr">
        <is>
          <t>lr</t>
        </is>
      </c>
      <c r="E53" s="30" t="inlineStr">
        <is>
          <t>step0_loss</t>
        </is>
      </c>
      <c r="F53" s="30" t="inlineStr">
        <is>
          <t>best_val_loss</t>
        </is>
      </c>
      <c r="G53" s="30" t="inlineStr">
        <is>
          <t>best_epoch</t>
        </is>
      </c>
      <c r="H53" s="30" t="inlineStr">
        <is>
          <t>val_acc</t>
        </is>
      </c>
      <c r="I53" s="30" t="inlineStr">
        <is>
          <t>val_macro_f1</t>
        </is>
      </c>
      <c r="J53" s="30" t="inlineStr">
        <is>
          <t>time_per_epoch_s</t>
        </is>
      </c>
      <c r="K53" s="30" t="inlineStr">
        <is>
          <t>diverged</t>
        </is>
      </c>
      <c r="L53" s="30" t="inlineStr">
        <is>
          <t>figure_file</t>
        </is>
      </c>
    </row>
    <row r="54" ht="15" customHeight="1" s="20">
      <c r="A54" s="31" t="inlineStr">
        <is>
          <t>opt-adam-lr1e-3</t>
        </is>
      </c>
      <c r="B54" s="31" t="inlineStr">
        <is>
          <t>optimizer</t>
        </is>
      </c>
      <c r="C54" s="31" t="inlineStr">
        <is>
          <t>Adam</t>
        </is>
      </c>
      <c r="D54" s="31" t="n">
        <v>0.001</v>
      </c>
      <c r="E54" s="31" t="n">
        <v>1.95</v>
      </c>
      <c r="F54" s="31" t="n">
        <v>0.6</v>
      </c>
      <c r="G54" s="31" t="n">
        <v>18</v>
      </c>
      <c r="H54" s="31" t="n">
        <v>0.75</v>
      </c>
      <c r="I54" s="31" t="n">
        <v>0.65</v>
      </c>
      <c r="J54" s="31" t="n">
        <v>2.1</v>
      </c>
      <c r="K54" s="31" t="inlineStr">
        <is>
          <t>N</t>
        </is>
      </c>
      <c r="L54" s="31" t="inlineStr">
        <is>
          <t>figures/opt-adam-lr1e-3.png</t>
        </is>
      </c>
    </row>
    <row r="56" ht="15" customHeight="1" s="20">
      <c r="A56" s="22" t="inlineStr">
        <is>
          <t>ln 7 = 1.9459 (loss bước 0 kỳ vọng với 7 lớp). Ngưỡng nhiễu = 2 × độ lệch chuẩn của các seed baseline.</t>
        </is>
      </c>
    </row>
    <row r="59">
      <c r="A59" t="inlineStr">
        <is>
          <t>Measured supplementary evidence (associated exp_id in column A)</t>
        </is>
      </c>
    </row>
    <row r="60">
      <c r="A60" t="inlineStr">
        <is>
          <t>base-s1</t>
        </is>
      </c>
      <c r="B60" t="inlineStr">
        <is>
          <t>parameters</t>
        </is>
      </c>
      <c r="C60" t="n">
        <v>47879</v>
      </c>
    </row>
    <row r="61">
      <c r="A61" t="inlineStr">
        <is>
          <t>base-s1</t>
        </is>
      </c>
      <c r="B61" t="inlineStr">
        <is>
          <t>He health step0</t>
        </is>
      </c>
      <c r="C61" t="n">
        <v>2.26906156539917</v>
      </c>
    </row>
    <row r="62">
      <c r="A62" t="inlineStr">
        <is>
          <t>base-s1</t>
        </is>
      </c>
      <c r="B62" t="inlineStr">
        <is>
          <t>uniform step0 check</t>
        </is>
      </c>
      <c r="C62" t="n">
        <v>1.94590961933136</v>
      </c>
    </row>
    <row r="63">
      <c r="A63" t="inlineStr">
        <is>
          <t>base-s1</t>
        </is>
      </c>
      <c r="B63" t="inlineStr">
        <is>
          <t>overfit20 CE</t>
        </is>
      </c>
      <c r="C63" t="n">
        <v>4.392843038658611e-06</v>
      </c>
    </row>
    <row r="64">
      <c r="A64" t="inlineStr">
        <is>
          <t>base-s1</t>
        </is>
      </c>
      <c r="B64" t="inlineStr">
        <is>
          <t>overfit20 accuracy</t>
        </is>
      </c>
      <c r="C64" t="n">
        <v>1</v>
      </c>
    </row>
    <row r="65">
      <c r="A65" t="inlineStr">
        <is>
          <t>base-s1</t>
        </is>
      </c>
      <c r="B65" t="inlineStr">
        <is>
          <t>majority validation accuracy</t>
        </is>
      </c>
      <c r="C65" t="n">
        <v>0.4875970826789441</v>
      </c>
    </row>
    <row r="66">
      <c r="A66" t="inlineStr">
        <is>
          <t>base-s1</t>
        </is>
      </c>
      <c r="B66" t="inlineStr">
        <is>
          <t>train samples</t>
        </is>
      </c>
      <c r="C66" t="n">
        <v>371847</v>
      </c>
    </row>
    <row r="67">
      <c r="A67" t="inlineStr">
        <is>
          <t>base-s1</t>
        </is>
      </c>
      <c r="B67" t="inlineStr">
        <is>
          <t>validation samples</t>
        </is>
      </c>
      <c r="C67" t="n">
        <v>92962</v>
      </c>
    </row>
    <row r="68">
      <c r="A68" t="inlineStr">
        <is>
          <t>opt-adam-lr0.003</t>
        </is>
      </c>
      <c r="B68" t="inlineStr">
        <is>
          <t>eval samples</t>
        </is>
      </c>
      <c r="C68" t="n">
        <v>116203</v>
      </c>
    </row>
    <row r="69">
      <c r="A69" t="inlineStr">
        <is>
          <t>opt-adam-lr0.003</t>
        </is>
      </c>
      <c r="B69" t="inlineStr">
        <is>
          <t>total wall time seconds</t>
        </is>
      </c>
      <c r="C69" t="n">
        <v>128.035822797</v>
      </c>
    </row>
    <row r="70">
      <c r="A70" t="inlineStr">
        <is>
          <t>base-s1</t>
        </is>
      </c>
      <c r="B70" t="inlineStr">
        <is>
          <t>Python</t>
        </is>
      </c>
      <c r="C70" t="inlineStr">
        <is>
          <t>3.13.11</t>
        </is>
      </c>
    </row>
    <row r="71">
      <c r="A71" t="inlineStr">
        <is>
          <t>base-s1</t>
        </is>
      </c>
      <c r="B71" t="inlineStr">
        <is>
          <t>PyTorch</t>
        </is>
      </c>
      <c r="C71" t="inlineStr">
        <is>
          <t>2.10.0+cu128</t>
        </is>
      </c>
    </row>
    <row r="72">
      <c r="A72" t="inlineStr">
        <is>
          <t>base-s1</t>
        </is>
      </c>
      <c r="B72" t="inlineStr">
        <is>
          <t>device</t>
        </is>
      </c>
      <c r="C72" t="inlineStr">
        <is>
          <t>NVIDIA GeForce RTX 3060</t>
        </is>
      </c>
    </row>
    <row r="73">
      <c r="A73" t="inlineStr">
        <is>
          <t>base-s1</t>
        </is>
      </c>
      <c r="B73" t="inlineStr">
        <is>
          <t>split seed</t>
        </is>
      </c>
      <c r="C73" t="n">
        <v>42</v>
      </c>
    </row>
    <row r="74">
      <c r="A74" t="inlineStr">
        <is>
          <t>base-s1</t>
        </is>
      </c>
      <c r="B74" t="inlineStr">
        <is>
          <t>health gradient net.0.weight</t>
        </is>
      </c>
      <c r="C74" t="n">
        <v>0.5070549845695496</v>
      </c>
    </row>
    <row r="75">
      <c r="A75" t="inlineStr">
        <is>
          <t>base-s1</t>
        </is>
      </c>
      <c r="B75" t="inlineStr">
        <is>
          <t>health gradient net.0.bias</t>
        </is>
      </c>
      <c r="C75" t="n">
        <v>0.3422401249408722</v>
      </c>
    </row>
    <row r="76">
      <c r="A76" t="inlineStr">
        <is>
          <t>base-s1</t>
        </is>
      </c>
      <c r="B76" t="inlineStr">
        <is>
          <t>health gradient net.3.weight</t>
        </is>
      </c>
      <c r="C76" t="n">
        <v>2.021228551864624</v>
      </c>
    </row>
    <row r="77">
      <c r="A77" t="inlineStr">
        <is>
          <t>base-s1</t>
        </is>
      </c>
      <c r="B77" t="inlineStr">
        <is>
          <t>health gradient net.3.bias</t>
        </is>
      </c>
      <c r="C77" t="n">
        <v>0.4438736438751221</v>
      </c>
    </row>
    <row r="78">
      <c r="A78" t="inlineStr">
        <is>
          <t>base-s1</t>
        </is>
      </c>
      <c r="B78" t="inlineStr">
        <is>
          <t>health gradient net.6.weight</t>
        </is>
      </c>
      <c r="C78" t="n">
        <v>1.960455775260925</v>
      </c>
    </row>
    <row r="79">
      <c r="A79" t="inlineStr">
        <is>
          <t>base-s1</t>
        </is>
      </c>
      <c r="B79" t="inlineStr">
        <is>
          <t>health gradient net.6.bias</t>
        </is>
      </c>
      <c r="C79" t="n">
        <v>0.5724555253982544</v>
      </c>
    </row>
    <row r="80">
      <c r="A80" t="inlineStr">
        <is>
          <t>base-s1</t>
        </is>
      </c>
      <c r="B80" t="inlineStr">
        <is>
          <t>activation stds after Linear</t>
        </is>
      </c>
      <c r="C80" t="inlineStr">
        <is>
          <t>[0.6662053465843201, 0.6463871598243713, 0.5933443307876587]</t>
        </is>
      </c>
    </row>
    <row r="81">
      <c r="A81" t="inlineStr">
        <is>
          <t>base-s1</t>
        </is>
      </c>
      <c r="B81" t="inlineStr">
        <is>
          <t>mean fraction clipped</t>
        </is>
      </c>
      <c r="C81" t="n">
        <v>0</v>
      </c>
    </row>
    <row r="82">
      <c r="A82" t="inlineStr">
        <is>
          <t>base-s1</t>
        </is>
      </c>
      <c r="B82" t="inlineStr">
        <is>
          <t>max preclip gradient</t>
        </is>
      </c>
      <c r="C82" t="n">
        <v>2.891285181045532</v>
      </c>
    </row>
    <row r="83">
      <c r="A83" t="inlineStr">
        <is>
          <t>base-s1</t>
        </is>
      </c>
      <c r="B83" t="inlineStr">
        <is>
          <t>gradient norm p75</t>
        </is>
      </c>
      <c r="C83" t="n">
        <v>0.8710557669401169</v>
      </c>
    </row>
    <row r="84">
      <c r="A84" t="inlineStr">
        <is>
          <t>base-s1</t>
        </is>
      </c>
      <c r="B84" t="inlineStr">
        <is>
          <t>first epoch train loss</t>
        </is>
      </c>
      <c r="C84" t="n">
        <v>0.5003914833068848</v>
      </c>
    </row>
    <row r="85">
      <c r="A85" t="inlineStr">
        <is>
          <t>base-s1</t>
        </is>
      </c>
      <c r="B85" t="inlineStr">
        <is>
          <t>first epoch validation loss</t>
        </is>
      </c>
      <c r="C85" t="n">
        <v>0.4994478821754456</v>
      </c>
    </row>
    <row r="86">
      <c r="A86" t="inlineStr">
        <is>
          <t>base-s1</t>
        </is>
      </c>
      <c r="B86" t="inlineStr">
        <is>
          <t>total attempted update steps</t>
        </is>
      </c>
      <c r="C86" t="n">
        <v>14540</v>
      </c>
    </row>
    <row r="87">
      <c r="A87" t="inlineStr">
        <is>
          <t>base-s1</t>
        </is>
      </c>
      <c r="B87" t="inlineStr">
        <is>
          <t>GradScaler skipped overflow steps</t>
        </is>
      </c>
      <c r="C87" t="n">
        <v>0</v>
      </c>
    </row>
    <row r="88">
      <c r="A88" t="inlineStr">
        <is>
          <t>tune-sgd-lr0.01</t>
        </is>
      </c>
      <c r="B88" t="inlineStr">
        <is>
          <t>activation stds after Linear</t>
        </is>
      </c>
      <c r="C88" t="inlineStr">
        <is>
          <t>[0.6662053465843201, 0.6463871598243713, 0.5933443307876587]</t>
        </is>
      </c>
    </row>
    <row r="89">
      <c r="A89" t="inlineStr">
        <is>
          <t>tune-sgd-lr0.01</t>
        </is>
      </c>
      <c r="B89" t="inlineStr">
        <is>
          <t>mean fraction clipped</t>
        </is>
      </c>
      <c r="C89" t="n">
        <v>0</v>
      </c>
    </row>
    <row r="90">
      <c r="A90" t="inlineStr">
        <is>
          <t>tune-sgd-lr0.01</t>
        </is>
      </c>
      <c r="B90" t="inlineStr">
        <is>
          <t>max preclip gradient</t>
        </is>
      </c>
      <c r="C90" t="n">
        <v>3.909806966781616</v>
      </c>
    </row>
    <row r="91">
      <c r="A91" t="inlineStr">
        <is>
          <t>tune-sgd-lr0.01</t>
        </is>
      </c>
      <c r="B91" t="inlineStr">
        <is>
          <t>gradient norm p75</t>
        </is>
      </c>
      <c r="C91" t="n">
        <v>1.304594337940216</v>
      </c>
    </row>
    <row r="92">
      <c r="A92" t="inlineStr">
        <is>
          <t>tune-sgd-lr0.01</t>
        </is>
      </c>
      <c r="B92" t="inlineStr">
        <is>
          <t>first epoch train loss</t>
        </is>
      </c>
      <c r="C92" t="n">
        <v>0.5796983242034912</v>
      </c>
    </row>
    <row r="93">
      <c r="A93" t="inlineStr">
        <is>
          <t>tune-sgd-lr0.01</t>
        </is>
      </c>
      <c r="B93" t="inlineStr">
        <is>
          <t>first epoch validation loss</t>
        </is>
      </c>
      <c r="C93" t="n">
        <v>0.5786738395690918</v>
      </c>
    </row>
    <row r="94">
      <c r="A94" t="inlineStr">
        <is>
          <t>tune-sgd-lr0.01</t>
        </is>
      </c>
      <c r="B94" t="inlineStr">
        <is>
          <t>total attempted update steps</t>
        </is>
      </c>
      <c r="C94" t="n">
        <v>14540</v>
      </c>
    </row>
    <row r="95">
      <c r="A95" t="inlineStr">
        <is>
          <t>tune-sgd-lr0.01</t>
        </is>
      </c>
      <c r="B95" t="inlineStr">
        <is>
          <t>GradScaler skipped overflow steps</t>
        </is>
      </c>
      <c r="C95" t="n">
        <v>0</v>
      </c>
    </row>
    <row r="96">
      <c r="A96" t="inlineStr">
        <is>
          <t>base-s2</t>
        </is>
      </c>
      <c r="B96" t="inlineStr">
        <is>
          <t>activation stds after Linear</t>
        </is>
      </c>
      <c r="C96" t="inlineStr">
        <is>
          <t>[0.6790938973426819, 0.6944714784622192, 0.5450047254562378]</t>
        </is>
      </c>
    </row>
    <row r="97">
      <c r="A97" t="inlineStr">
        <is>
          <t>base-s2</t>
        </is>
      </c>
      <c r="B97" t="inlineStr">
        <is>
          <t>mean fraction clipped</t>
        </is>
      </c>
      <c r="C97" t="n">
        <v>0</v>
      </c>
    </row>
    <row r="98">
      <c r="A98" t="inlineStr">
        <is>
          <t>base-s2</t>
        </is>
      </c>
      <c r="B98" t="inlineStr">
        <is>
          <t>max preclip gradient</t>
        </is>
      </c>
      <c r="C98" t="n">
        <v>2.193209409713745</v>
      </c>
    </row>
    <row r="99">
      <c r="A99" t="inlineStr">
        <is>
          <t>base-s2</t>
        </is>
      </c>
      <c r="B99" t="inlineStr">
        <is>
          <t>gradient norm p75</t>
        </is>
      </c>
      <c r="C99" t="n">
        <v>0.8395681828260422</v>
      </c>
    </row>
    <row r="100">
      <c r="A100" t="inlineStr">
        <is>
          <t>base-s2</t>
        </is>
      </c>
      <c r="B100" t="inlineStr">
        <is>
          <t>first epoch train loss</t>
        </is>
      </c>
      <c r="C100" t="n">
        <v>0.5065021514892578</v>
      </c>
    </row>
    <row r="101">
      <c r="A101" t="inlineStr">
        <is>
          <t>base-s2</t>
        </is>
      </c>
      <c r="B101" t="inlineStr">
        <is>
          <t>first epoch validation loss</t>
        </is>
      </c>
      <c r="C101" t="n">
        <v>0.5072142481803894</v>
      </c>
    </row>
    <row r="102">
      <c r="A102" t="inlineStr">
        <is>
          <t>base-s2</t>
        </is>
      </c>
      <c r="B102" t="inlineStr">
        <is>
          <t>total attempted update steps</t>
        </is>
      </c>
      <c r="C102" t="n">
        <v>14540</v>
      </c>
    </row>
    <row r="103">
      <c r="A103" t="inlineStr">
        <is>
          <t>base-s2</t>
        </is>
      </c>
      <c r="B103" t="inlineStr">
        <is>
          <t>GradScaler skipped overflow steps</t>
        </is>
      </c>
      <c r="C103" t="n">
        <v>0</v>
      </c>
    </row>
    <row r="104">
      <c r="A104" t="inlineStr">
        <is>
          <t>base-s3</t>
        </is>
      </c>
      <c r="B104" t="inlineStr">
        <is>
          <t>activation stds after Linear</t>
        </is>
      </c>
      <c r="C104" t="inlineStr">
        <is>
          <t>[0.6721602082252502, 0.6762768030166626, 0.5360316634178162]</t>
        </is>
      </c>
    </row>
    <row r="105">
      <c r="A105" t="inlineStr">
        <is>
          <t>base-s3</t>
        </is>
      </c>
      <c r="B105" t="inlineStr">
        <is>
          <t>mean fraction clipped</t>
        </is>
      </c>
      <c r="C105" t="n">
        <v>0</v>
      </c>
    </row>
    <row r="106">
      <c r="A106" t="inlineStr">
        <is>
          <t>base-s3</t>
        </is>
      </c>
      <c r="B106" t="inlineStr">
        <is>
          <t>max preclip gradient</t>
        </is>
      </c>
      <c r="C106" t="n">
        <v>2.676115989685059</v>
      </c>
    </row>
    <row r="107">
      <c r="A107" t="inlineStr">
        <is>
          <t>base-s3</t>
        </is>
      </c>
      <c r="B107" t="inlineStr">
        <is>
          <t>gradient norm p75</t>
        </is>
      </c>
      <c r="C107" t="n">
        <v>0.8893724679946899</v>
      </c>
    </row>
    <row r="108">
      <c r="A108" t="inlineStr">
        <is>
          <t>base-s3</t>
        </is>
      </c>
      <c r="B108" t="inlineStr">
        <is>
          <t>first epoch train loss</t>
        </is>
      </c>
      <c r="C108" t="n">
        <v>0.4950663149356842</v>
      </c>
    </row>
    <row r="109">
      <c r="A109" t="inlineStr">
        <is>
          <t>base-s3</t>
        </is>
      </c>
      <c r="B109" t="inlineStr">
        <is>
          <t>first epoch validation loss</t>
        </is>
      </c>
      <c r="C109" t="n">
        <v>0.4975323379039764</v>
      </c>
    </row>
    <row r="110">
      <c r="A110" t="inlineStr">
        <is>
          <t>base-s3</t>
        </is>
      </c>
      <c r="B110" t="inlineStr">
        <is>
          <t>total attempted update steps</t>
        </is>
      </c>
      <c r="C110" t="n">
        <v>14540</v>
      </c>
    </row>
    <row r="111">
      <c r="A111" t="inlineStr">
        <is>
          <t>base-s3</t>
        </is>
      </c>
      <c r="B111" t="inlineStr">
        <is>
          <t>GradScaler skipped overflow steps</t>
        </is>
      </c>
      <c r="C111" t="n">
        <v>0</v>
      </c>
    </row>
    <row r="112">
      <c r="A112" t="inlineStr">
        <is>
          <t>loss-mse</t>
        </is>
      </c>
      <c r="B112" t="inlineStr">
        <is>
          <t>activation stds after Linear</t>
        </is>
      </c>
      <c r="C112" t="inlineStr">
        <is>
          <t>[0.6662053465843201, 0.6463871598243713, 0.5933443307876587]</t>
        </is>
      </c>
    </row>
    <row r="113">
      <c r="A113" t="inlineStr">
        <is>
          <t>loss-mse</t>
        </is>
      </c>
      <c r="B113" t="inlineStr">
        <is>
          <t>mean fraction clipped</t>
        </is>
      </c>
      <c r="C113" t="n">
        <v>0</v>
      </c>
    </row>
    <row r="114">
      <c r="A114" t="inlineStr">
        <is>
          <t>loss-mse</t>
        </is>
      </c>
      <c r="B114" t="inlineStr">
        <is>
          <t>max preclip gradient</t>
        </is>
      </c>
      <c r="C114" t="n">
        <v>2.322990417480469</v>
      </c>
    </row>
    <row r="115">
      <c r="A115" t="inlineStr">
        <is>
          <t>loss-mse</t>
        </is>
      </c>
      <c r="B115" t="inlineStr">
        <is>
          <t>gradient norm p75</t>
        </is>
      </c>
      <c r="C115" t="n">
        <v>0.09922113828361034</v>
      </c>
    </row>
    <row r="116">
      <c r="A116" t="inlineStr">
        <is>
          <t>loss-mse</t>
        </is>
      </c>
      <c r="B116" t="inlineStr">
        <is>
          <t>first epoch train loss</t>
        </is>
      </c>
      <c r="C116" t="n">
        <v>0.05201144888997078</v>
      </c>
    </row>
    <row r="117">
      <c r="A117" t="inlineStr">
        <is>
          <t>loss-mse</t>
        </is>
      </c>
      <c r="B117" t="inlineStr">
        <is>
          <t>first epoch validation loss</t>
        </is>
      </c>
      <c r="C117" t="n">
        <v>0.05172979831695557</v>
      </c>
    </row>
    <row r="118">
      <c r="A118" t="inlineStr">
        <is>
          <t>loss-mse</t>
        </is>
      </c>
      <c r="B118" t="inlineStr">
        <is>
          <t>total attempted update steps</t>
        </is>
      </c>
      <c r="C118" t="n">
        <v>14540</v>
      </c>
    </row>
    <row r="119">
      <c r="A119" t="inlineStr">
        <is>
          <t>loss-mse</t>
        </is>
      </c>
      <c r="B119" t="inlineStr">
        <is>
          <t>GradScaler skipped overflow steps</t>
        </is>
      </c>
      <c r="C119" t="n">
        <v>0</v>
      </c>
    </row>
    <row r="120">
      <c r="A120" t="inlineStr">
        <is>
          <t>opt-adam-lr0.001</t>
        </is>
      </c>
      <c r="B120" t="inlineStr">
        <is>
          <t>activation stds after Linear</t>
        </is>
      </c>
      <c r="C120" t="inlineStr">
        <is>
          <t>[0.6662053465843201, 0.6463871598243713, 0.5933443307876587]</t>
        </is>
      </c>
    </row>
    <row r="121">
      <c r="A121" t="inlineStr">
        <is>
          <t>opt-adam-lr0.001</t>
        </is>
      </c>
      <c r="B121" t="inlineStr">
        <is>
          <t>mean fraction clipped</t>
        </is>
      </c>
      <c r="C121" t="n">
        <v>0</v>
      </c>
    </row>
    <row r="122">
      <c r="A122" t="inlineStr">
        <is>
          <t>opt-adam-lr0.001</t>
        </is>
      </c>
      <c r="B122" t="inlineStr">
        <is>
          <t>max preclip gradient</t>
        </is>
      </c>
      <c r="C122" t="n">
        <v>2.891285181045532</v>
      </c>
    </row>
    <row r="123">
      <c r="A123" t="inlineStr">
        <is>
          <t>opt-adam-lr0.001</t>
        </is>
      </c>
      <c r="B123" t="inlineStr">
        <is>
          <t>gradient norm p75</t>
        </is>
      </c>
      <c r="C123" t="n">
        <v>1.039936900138855</v>
      </c>
    </row>
    <row r="124">
      <c r="A124" t="inlineStr">
        <is>
          <t>opt-adam-lr0.001</t>
        </is>
      </c>
      <c r="B124" t="inlineStr">
        <is>
          <t>first epoch train loss</t>
        </is>
      </c>
      <c r="C124" t="n">
        <v>0.4879378378391266</v>
      </c>
    </row>
    <row r="125">
      <c r="A125" t="inlineStr">
        <is>
          <t>opt-adam-lr0.001</t>
        </is>
      </c>
      <c r="B125" t="inlineStr">
        <is>
          <t>first epoch validation loss</t>
        </is>
      </c>
      <c r="C125" t="n">
        <v>0.4871799349784851</v>
      </c>
    </row>
    <row r="126">
      <c r="A126" t="inlineStr">
        <is>
          <t>opt-adam-lr0.001</t>
        </is>
      </c>
      <c r="B126" t="inlineStr">
        <is>
          <t>total attempted update steps</t>
        </is>
      </c>
      <c r="C126" t="n">
        <v>14540</v>
      </c>
    </row>
    <row r="127">
      <c r="A127" t="inlineStr">
        <is>
          <t>opt-adam-lr0.001</t>
        </is>
      </c>
      <c r="B127" t="inlineStr">
        <is>
          <t>GradScaler skipped overflow steps</t>
        </is>
      </c>
      <c r="C127" t="n">
        <v>0</v>
      </c>
    </row>
    <row r="128">
      <c r="A128" t="inlineStr">
        <is>
          <t>opt-adam-lr0.003</t>
        </is>
      </c>
      <c r="B128" t="inlineStr">
        <is>
          <t>activation stds after Linear</t>
        </is>
      </c>
      <c r="C128" t="inlineStr">
        <is>
          <t>[0.6662053465843201, 0.6463871598243713, 0.5933443307876587]</t>
        </is>
      </c>
    </row>
    <row r="129">
      <c r="A129" t="inlineStr">
        <is>
          <t>opt-adam-lr0.003</t>
        </is>
      </c>
      <c r="B129" t="inlineStr">
        <is>
          <t>mean fraction clipped</t>
        </is>
      </c>
      <c r="C129" t="n">
        <v>0</v>
      </c>
    </row>
    <row r="130">
      <c r="A130" t="inlineStr">
        <is>
          <t>opt-adam-lr0.003</t>
        </is>
      </c>
      <c r="B130" t="inlineStr">
        <is>
          <t>max preclip gradient</t>
        </is>
      </c>
      <c r="C130" t="n">
        <v>2.891285181045532</v>
      </c>
    </row>
    <row r="131">
      <c r="A131" t="inlineStr">
        <is>
          <t>opt-adam-lr0.003</t>
        </is>
      </c>
      <c r="B131" t="inlineStr">
        <is>
          <t>gradient norm p75</t>
        </is>
      </c>
      <c r="C131" t="n">
        <v>0.7762930691242218</v>
      </c>
    </row>
    <row r="132">
      <c r="A132" t="inlineStr">
        <is>
          <t>opt-adam-lr0.003</t>
        </is>
      </c>
      <c r="B132" t="inlineStr">
        <is>
          <t>first epoch train loss</t>
        </is>
      </c>
      <c r="C132" t="n">
        <v>0.4433760344982147</v>
      </c>
    </row>
    <row r="133">
      <c r="A133" t="inlineStr">
        <is>
          <t>opt-adam-lr0.003</t>
        </is>
      </c>
      <c r="B133" t="inlineStr">
        <is>
          <t>first epoch validation loss</t>
        </is>
      </c>
      <c r="C133" t="n">
        <v>0.4437729716300964</v>
      </c>
    </row>
    <row r="134">
      <c r="A134" t="inlineStr">
        <is>
          <t>opt-adam-lr0.003</t>
        </is>
      </c>
      <c r="B134" t="inlineStr">
        <is>
          <t>total attempted update steps</t>
        </is>
      </c>
      <c r="C134" t="n">
        <v>14540</v>
      </c>
    </row>
    <row r="135">
      <c r="A135" t="inlineStr">
        <is>
          <t>opt-adam-lr0.003</t>
        </is>
      </c>
      <c r="B135" t="inlineStr">
        <is>
          <t>GradScaler skipped overflow steps</t>
        </is>
      </c>
      <c r="C135" t="n">
        <v>0</v>
      </c>
    </row>
    <row r="136">
      <c r="A136" t="inlineStr">
        <is>
          <t>batch-256</t>
        </is>
      </c>
      <c r="B136" t="inlineStr">
        <is>
          <t>activation stds after Linear</t>
        </is>
      </c>
      <c r="C136" t="inlineStr">
        <is>
          <t>[0.6662053465843201, 0.6463871598243713, 0.5933443307876587]</t>
        </is>
      </c>
    </row>
    <row r="137">
      <c r="A137" t="inlineStr">
        <is>
          <t>batch-256</t>
        </is>
      </c>
      <c r="B137" t="inlineStr">
        <is>
          <t>mean fraction clipped</t>
        </is>
      </c>
      <c r="C137" t="n">
        <v>0</v>
      </c>
    </row>
    <row r="138">
      <c r="A138" t="inlineStr">
        <is>
          <t>batch-256</t>
        </is>
      </c>
      <c r="B138" t="inlineStr">
        <is>
          <t>max preclip gradient</t>
        </is>
      </c>
      <c r="C138" t="n">
        <v>2.810184240341187</v>
      </c>
    </row>
    <row r="139">
      <c r="A139" t="inlineStr">
        <is>
          <t>batch-256</t>
        </is>
      </c>
      <c r="B139" t="inlineStr">
        <is>
          <t>gradient norm p75</t>
        </is>
      </c>
      <c r="C139" t="n">
        <v>0.8114749193191528</v>
      </c>
    </row>
    <row r="140">
      <c r="A140" t="inlineStr">
        <is>
          <t>batch-256</t>
        </is>
      </c>
      <c r="B140" t="inlineStr">
        <is>
          <t>first epoch train loss</t>
        </is>
      </c>
      <c r="C140" t="n">
        <v>0.4848155379295349</v>
      </c>
    </row>
    <row r="141">
      <c r="A141" t="inlineStr">
        <is>
          <t>batch-256</t>
        </is>
      </c>
      <c r="B141" t="inlineStr">
        <is>
          <t>first epoch validation loss</t>
        </is>
      </c>
      <c r="C141" t="n">
        <v>0.485663890838623</v>
      </c>
    </row>
    <row r="142">
      <c r="A142" t="inlineStr">
        <is>
          <t>batch-256</t>
        </is>
      </c>
      <c r="B142" t="inlineStr">
        <is>
          <t>total attempted update steps</t>
        </is>
      </c>
      <c r="C142" t="n">
        <v>29060</v>
      </c>
    </row>
    <row r="143">
      <c r="A143" t="inlineStr">
        <is>
          <t>batch-256</t>
        </is>
      </c>
      <c r="B143" t="inlineStr">
        <is>
          <t>GradScaler skipped overflow steps</t>
        </is>
      </c>
      <c r="C143" t="n">
        <v>0</v>
      </c>
    </row>
    <row r="144">
      <c r="A144" t="inlineStr">
        <is>
          <t>drop-01</t>
        </is>
      </c>
      <c r="B144" t="inlineStr">
        <is>
          <t>activation stds after Linear</t>
        </is>
      </c>
      <c r="C144" t="inlineStr">
        <is>
          <t>[0.6662053465843201, 0.6463871598243713, 0.5933443307876587]</t>
        </is>
      </c>
    </row>
    <row r="145">
      <c r="A145" t="inlineStr">
        <is>
          <t>drop-01</t>
        </is>
      </c>
      <c r="B145" t="inlineStr">
        <is>
          <t>mean fraction clipped</t>
        </is>
      </c>
      <c r="C145" t="n">
        <v>0</v>
      </c>
    </row>
    <row r="146">
      <c r="A146" t="inlineStr">
        <is>
          <t>drop-01</t>
        </is>
      </c>
      <c r="B146" t="inlineStr">
        <is>
          <t>max preclip gradient</t>
        </is>
      </c>
      <c r="C146" t="n">
        <v>2.921867370605469</v>
      </c>
    </row>
    <row r="147">
      <c r="A147" t="inlineStr">
        <is>
          <t>drop-01</t>
        </is>
      </c>
      <c r="B147" t="inlineStr">
        <is>
          <t>gradient norm p75</t>
        </is>
      </c>
      <c r="C147" t="n">
        <v>0.4467632547020912</v>
      </c>
    </row>
    <row r="148">
      <c r="A148" t="inlineStr">
        <is>
          <t>drop-01</t>
        </is>
      </c>
      <c r="B148" t="inlineStr">
        <is>
          <t>first epoch train loss</t>
        </is>
      </c>
      <c r="C148" t="n">
        <v>0.5165616869926453</v>
      </c>
    </row>
    <row r="149">
      <c r="A149" t="inlineStr">
        <is>
          <t>drop-01</t>
        </is>
      </c>
      <c r="B149" t="inlineStr">
        <is>
          <t>first epoch validation loss</t>
        </is>
      </c>
      <c r="C149" t="n">
        <v>0.5137790441513062</v>
      </c>
    </row>
    <row r="150">
      <c r="A150" t="inlineStr">
        <is>
          <t>drop-01</t>
        </is>
      </c>
      <c r="B150" t="inlineStr">
        <is>
          <t>total attempted update steps</t>
        </is>
      </c>
      <c r="C150" t="n">
        <v>14540</v>
      </c>
    </row>
    <row r="151">
      <c r="A151" t="inlineStr">
        <is>
          <t>drop-01</t>
        </is>
      </c>
      <c r="B151" t="inlineStr">
        <is>
          <t>GradScaler skipped overflow steps</t>
        </is>
      </c>
      <c r="C151" t="n">
        <v>0</v>
      </c>
    </row>
    <row r="152">
      <c r="A152" t="inlineStr">
        <is>
          <t>clip-normal</t>
        </is>
      </c>
      <c r="B152" t="inlineStr">
        <is>
          <t>activation stds after Linear</t>
        </is>
      </c>
      <c r="C152" t="inlineStr">
        <is>
          <t>[0.6662053465843201, 0.6463871598243713, 0.5933443307876587]</t>
        </is>
      </c>
    </row>
    <row r="153">
      <c r="A153" t="inlineStr">
        <is>
          <t>clip-normal</t>
        </is>
      </c>
      <c r="B153" t="inlineStr">
        <is>
          <t>mean fraction clipped</t>
        </is>
      </c>
      <c r="C153" t="n">
        <v>0.3262723521320495</v>
      </c>
    </row>
    <row r="154">
      <c r="A154" t="inlineStr">
        <is>
          <t>clip-normal</t>
        </is>
      </c>
      <c r="B154" t="inlineStr">
        <is>
          <t>max preclip gradient</t>
        </is>
      </c>
      <c r="C154" t="n">
        <v>2.891285181045532</v>
      </c>
    </row>
    <row r="155">
      <c r="A155" t="inlineStr">
        <is>
          <t>clip-normal</t>
        </is>
      </c>
      <c r="B155" t="inlineStr">
        <is>
          <t>gradient norm p75</t>
        </is>
      </c>
      <c r="C155" t="n">
        <v>0.9252033680677414</v>
      </c>
    </row>
    <row r="156">
      <c r="A156" t="inlineStr">
        <is>
          <t>clip-normal</t>
        </is>
      </c>
      <c r="B156" t="inlineStr">
        <is>
          <t>first epoch train loss</t>
        </is>
      </c>
      <c r="C156" t="n">
        <v>0.495274156332016</v>
      </c>
    </row>
    <row r="157">
      <c r="A157" t="inlineStr">
        <is>
          <t>clip-normal</t>
        </is>
      </c>
      <c r="B157" t="inlineStr">
        <is>
          <t>first epoch validation loss</t>
        </is>
      </c>
      <c r="C157" t="n">
        <v>0.4949726462364197</v>
      </c>
    </row>
    <row r="158">
      <c r="A158" t="inlineStr">
        <is>
          <t>clip-normal</t>
        </is>
      </c>
      <c r="B158" t="inlineStr">
        <is>
          <t>total attempted update steps</t>
        </is>
      </c>
      <c r="C158" t="n">
        <v>14540</v>
      </c>
    </row>
    <row r="159">
      <c r="A159" t="inlineStr">
        <is>
          <t>clip-normal</t>
        </is>
      </c>
      <c r="B159" t="inlineStr">
        <is>
          <t>GradScaler skipped overflow steps</t>
        </is>
      </c>
      <c r="C159" t="n">
        <v>0</v>
      </c>
    </row>
    <row r="160">
      <c r="A160" t="inlineStr">
        <is>
          <t>highlr-no-clip</t>
        </is>
      </c>
      <c r="B160" t="inlineStr">
        <is>
          <t>activation stds after Linear</t>
        </is>
      </c>
      <c r="C160" t="inlineStr">
        <is>
          <t>[0.6662053465843201, 0.6463871598243713, 0.5933443307876587]</t>
        </is>
      </c>
    </row>
    <row r="161">
      <c r="A161" t="inlineStr">
        <is>
          <t>highlr-no-clip</t>
        </is>
      </c>
      <c r="B161" t="inlineStr">
        <is>
          <t>mean fraction clipped</t>
        </is>
      </c>
      <c r="C161" t="n">
        <v>0</v>
      </c>
    </row>
    <row r="162">
      <c r="A162" t="inlineStr">
        <is>
          <t>highlr-no-clip</t>
        </is>
      </c>
      <c r="B162" t="inlineStr">
        <is>
          <t>max preclip gradient</t>
        </is>
      </c>
      <c r="C162" t="n">
        <v>4.473457336425781</v>
      </c>
    </row>
    <row r="163">
      <c r="A163" t="inlineStr">
        <is>
          <t>highlr-no-clip</t>
        </is>
      </c>
      <c r="B163" t="inlineStr">
        <is>
          <t>gradient norm p75</t>
        </is>
      </c>
      <c r="C163" t="n">
        <v>0.3155098930001259</v>
      </c>
    </row>
    <row r="164">
      <c r="A164" t="inlineStr">
        <is>
          <t>highlr-no-clip</t>
        </is>
      </c>
      <c r="B164" t="inlineStr">
        <is>
          <t>first epoch train loss</t>
        </is>
      </c>
      <c r="C164" t="n">
        <v>0.4516521394252777</v>
      </c>
    </row>
    <row r="165">
      <c r="A165" t="inlineStr">
        <is>
          <t>highlr-no-clip</t>
        </is>
      </c>
      <c r="B165" t="inlineStr">
        <is>
          <t>first epoch validation loss</t>
        </is>
      </c>
      <c r="C165" t="n">
        <v>0.4541008472442627</v>
      </c>
    </row>
    <row r="166">
      <c r="A166" t="inlineStr">
        <is>
          <t>highlr-no-clip</t>
        </is>
      </c>
      <c r="B166" t="inlineStr">
        <is>
          <t>total attempted update steps</t>
        </is>
      </c>
      <c r="C166" t="n">
        <v>14540</v>
      </c>
    </row>
    <row r="167">
      <c r="A167" t="inlineStr">
        <is>
          <t>highlr-no-clip</t>
        </is>
      </c>
      <c r="B167" t="inlineStr">
        <is>
          <t>GradScaler skipped overflow steps</t>
        </is>
      </c>
      <c r="C167" t="n">
        <v>0</v>
      </c>
    </row>
    <row r="168">
      <c r="A168" t="inlineStr">
        <is>
          <t>highlr-clip</t>
        </is>
      </c>
      <c r="B168" t="inlineStr">
        <is>
          <t>activation stds after Linear</t>
        </is>
      </c>
      <c r="C168" t="inlineStr">
        <is>
          <t>[0.6662053465843201, 0.6463871598243713, 0.5933443307876587]</t>
        </is>
      </c>
    </row>
    <row r="169">
      <c r="A169" t="inlineStr">
        <is>
          <t>highlr-clip</t>
        </is>
      </c>
      <c r="B169" t="inlineStr">
        <is>
          <t>mean fraction clipped</t>
        </is>
      </c>
      <c r="C169" t="n">
        <v>0.0007565337001375517</v>
      </c>
    </row>
    <row r="170">
      <c r="A170" t="inlineStr">
        <is>
          <t>highlr-clip</t>
        </is>
      </c>
      <c r="B170" t="inlineStr">
        <is>
          <t>max preclip gradient</t>
        </is>
      </c>
      <c r="C170" t="n">
        <v>2.998622894287109</v>
      </c>
    </row>
    <row r="171">
      <c r="A171" t="inlineStr">
        <is>
          <t>highlr-clip</t>
        </is>
      </c>
      <c r="B171" t="inlineStr">
        <is>
          <t>gradient norm p75</t>
        </is>
      </c>
      <c r="C171" t="n">
        <v>0.3136681690812111</v>
      </c>
    </row>
    <row r="172">
      <c r="A172" t="inlineStr">
        <is>
          <t>highlr-clip</t>
        </is>
      </c>
      <c r="B172" t="inlineStr">
        <is>
          <t>first epoch train loss</t>
        </is>
      </c>
      <c r="C172" t="n">
        <v>0.4343208074569702</v>
      </c>
    </row>
    <row r="173">
      <c r="A173" t="inlineStr">
        <is>
          <t>highlr-clip</t>
        </is>
      </c>
      <c r="B173" t="inlineStr">
        <is>
          <t>first epoch validation loss</t>
        </is>
      </c>
      <c r="C173" t="n">
        <v>0.4377960860729218</v>
      </c>
    </row>
    <row r="174">
      <c r="A174" t="inlineStr">
        <is>
          <t>highlr-clip</t>
        </is>
      </c>
      <c r="B174" t="inlineStr">
        <is>
          <t>total attempted update steps</t>
        </is>
      </c>
      <c r="C174" t="n">
        <v>14540</v>
      </c>
    </row>
    <row r="175">
      <c r="A175" t="inlineStr">
        <is>
          <t>highlr-clip</t>
        </is>
      </c>
      <c r="B175" t="inlineStr">
        <is>
          <t>GradScaler skipped overflow steps</t>
        </is>
      </c>
      <c r="C175" t="n">
        <v>0</v>
      </c>
    </row>
    <row r="176">
      <c r="A176" t="inlineStr">
        <is>
          <t>amp-bf16</t>
        </is>
      </c>
      <c r="B176" t="inlineStr">
        <is>
          <t>activation stds after Linear</t>
        </is>
      </c>
      <c r="C176" t="inlineStr">
        <is>
          <t>[0.6662053465843201, 0.6463871598243713, 0.5933443307876587]</t>
        </is>
      </c>
    </row>
    <row r="177">
      <c r="A177" t="inlineStr">
        <is>
          <t>amp-bf16</t>
        </is>
      </c>
      <c r="B177" t="inlineStr">
        <is>
          <t>mean fraction clipped</t>
        </is>
      </c>
      <c r="C177" t="n">
        <v>0</v>
      </c>
    </row>
    <row r="178">
      <c r="A178" t="inlineStr">
        <is>
          <t>amp-bf16</t>
        </is>
      </c>
      <c r="B178" t="inlineStr">
        <is>
          <t>max preclip gradient</t>
        </is>
      </c>
      <c r="C178" t="n">
        <v>2.890552997589111</v>
      </c>
    </row>
    <row r="179">
      <c r="A179" t="inlineStr">
        <is>
          <t>amp-bf16</t>
        </is>
      </c>
      <c r="B179" t="inlineStr">
        <is>
          <t>gradient norm p75</t>
        </is>
      </c>
      <c r="C179" t="n">
        <v>0.861117884516716</v>
      </c>
    </row>
    <row r="180">
      <c r="A180" t="inlineStr">
        <is>
          <t>amp-bf16</t>
        </is>
      </c>
      <c r="B180" t="inlineStr">
        <is>
          <t>first epoch train loss</t>
        </is>
      </c>
      <c r="C180" t="n">
        <v>0.4986585080623627</v>
      </c>
    </row>
    <row r="181">
      <c r="A181" t="inlineStr">
        <is>
          <t>amp-bf16</t>
        </is>
      </c>
      <c r="B181" t="inlineStr">
        <is>
          <t>first epoch validation loss</t>
        </is>
      </c>
      <c r="C181" t="n">
        <v>0.4976601004600525</v>
      </c>
    </row>
    <row r="182">
      <c r="A182" t="inlineStr">
        <is>
          <t>amp-bf16</t>
        </is>
      </c>
      <c r="B182" t="inlineStr">
        <is>
          <t>total attempted update steps</t>
        </is>
      </c>
      <c r="C182" t="n">
        <v>14540</v>
      </c>
    </row>
    <row r="183">
      <c r="A183" t="inlineStr">
        <is>
          <t>amp-bf16</t>
        </is>
      </c>
      <c r="B183" t="inlineStr">
        <is>
          <t>GradScaler skipped overflow steps</t>
        </is>
      </c>
      <c r="C183" t="n">
        <v>0</v>
      </c>
    </row>
    <row r="184">
      <c r="A184" t="inlineStr">
        <is>
          <t>amp-fp16</t>
        </is>
      </c>
      <c r="B184" t="inlineStr">
        <is>
          <t>activation stds after Linear</t>
        </is>
      </c>
      <c r="C184" t="inlineStr">
        <is>
          <t>[0.6662053465843201, 0.6463871598243713, 0.5933443307876587]</t>
        </is>
      </c>
    </row>
    <row r="185">
      <c r="A185" t="inlineStr">
        <is>
          <t>amp-fp16</t>
        </is>
      </c>
      <c r="B185" t="inlineStr">
        <is>
          <t>mean fraction clipped</t>
        </is>
      </c>
      <c r="C185" t="n">
        <v>0</v>
      </c>
    </row>
    <row r="186">
      <c r="A186" t="inlineStr">
        <is>
          <t>amp-fp16</t>
        </is>
      </c>
      <c r="B186" t="inlineStr">
        <is>
          <t>max preclip gradient</t>
        </is>
      </c>
      <c r="C186" t="n">
        <v>2.891526937484741</v>
      </c>
    </row>
    <row r="187">
      <c r="A187" t="inlineStr">
        <is>
          <t>amp-fp16</t>
        </is>
      </c>
      <c r="B187" t="inlineStr">
        <is>
          <t>gradient norm p75</t>
        </is>
      </c>
      <c r="C187" t="n">
        <v>0.875533401966095</v>
      </c>
    </row>
    <row r="188">
      <c r="A188" t="inlineStr">
        <is>
          <t>amp-fp16</t>
        </is>
      </c>
      <c r="B188" t="inlineStr">
        <is>
          <t>first epoch train loss</t>
        </is>
      </c>
      <c r="C188" t="n">
        <v>0.4996021687984467</v>
      </c>
    </row>
    <row r="189">
      <c r="A189" t="inlineStr">
        <is>
          <t>amp-fp16</t>
        </is>
      </c>
      <c r="B189" t="inlineStr">
        <is>
          <t>first epoch validation loss</t>
        </is>
      </c>
      <c r="C189" t="n">
        <v>0.4986847043037415</v>
      </c>
    </row>
    <row r="190">
      <c r="A190" t="inlineStr">
        <is>
          <t>amp-fp16</t>
        </is>
      </c>
      <c r="B190" t="inlineStr">
        <is>
          <t>total attempted update steps</t>
        </is>
      </c>
      <c r="C190" t="n">
        <v>14540</v>
      </c>
    </row>
    <row r="191">
      <c r="A191" t="inlineStr">
        <is>
          <t>amp-fp16</t>
        </is>
      </c>
      <c r="B191" t="inlineStr">
        <is>
          <t>GradScaler skipped overflow steps</t>
        </is>
      </c>
      <c r="C191" t="n">
        <v>5</v>
      </c>
    </row>
    <row r="192">
      <c r="A192" t="inlineStr">
        <is>
          <t>init-zeros</t>
        </is>
      </c>
      <c r="B192" t="inlineStr">
        <is>
          <t>activation stds after Linear</t>
        </is>
      </c>
      <c r="C192" t="inlineStr">
        <is>
          <t>[0.0, 0.0, 0.0]</t>
        </is>
      </c>
    </row>
    <row r="193">
      <c r="A193" t="inlineStr">
        <is>
          <t>init-zeros</t>
        </is>
      </c>
      <c r="B193" t="inlineStr">
        <is>
          <t>mean fraction clipped</t>
        </is>
      </c>
      <c r="C193" t="n">
        <v>0</v>
      </c>
    </row>
    <row r="194">
      <c r="A194" t="inlineStr">
        <is>
          <t>init-zeros</t>
        </is>
      </c>
      <c r="B194" t="inlineStr">
        <is>
          <t>max preclip gradient</t>
        </is>
      </c>
      <c r="C194" t="n">
        <v>0.4975252151489258</v>
      </c>
    </row>
    <row r="195">
      <c r="A195" t="inlineStr">
        <is>
          <t>init-zeros</t>
        </is>
      </c>
      <c r="B195" t="inlineStr">
        <is>
          <t>gradient norm p75</t>
        </is>
      </c>
      <c r="C195" t="n">
        <v>0.04164085164666176</v>
      </c>
    </row>
    <row r="196">
      <c r="A196" t="inlineStr">
        <is>
          <t>init-zeros</t>
        </is>
      </c>
      <c r="B196" t="inlineStr">
        <is>
          <t>first epoch train loss</t>
        </is>
      </c>
      <c r="C196" t="n">
        <v>1.209874987602234</v>
      </c>
    </row>
    <row r="197">
      <c r="A197" t="inlineStr">
        <is>
          <t>init-zeros</t>
        </is>
      </c>
      <c r="B197" t="inlineStr">
        <is>
          <t>first epoch validation loss</t>
        </is>
      </c>
      <c r="C197" t="n">
        <v>1.205340504646301</v>
      </c>
    </row>
    <row r="198">
      <c r="A198" t="inlineStr">
        <is>
          <t>init-zeros</t>
        </is>
      </c>
      <c r="B198" t="inlineStr">
        <is>
          <t>total attempted update steps</t>
        </is>
      </c>
      <c r="C198" t="n">
        <v>14540</v>
      </c>
    </row>
    <row r="199">
      <c r="A199" t="inlineStr">
        <is>
          <t>init-zeros</t>
        </is>
      </c>
      <c r="B199" t="inlineStr">
        <is>
          <t>GradScaler skipped overflow steps</t>
        </is>
      </c>
      <c r="C199" t="n">
        <v>0</v>
      </c>
    </row>
    <row r="200">
      <c r="A200" t="inlineStr">
        <is>
          <t>init-normal</t>
        </is>
      </c>
      <c r="B200" t="inlineStr">
        <is>
          <t>activation stds after Linear</t>
        </is>
      </c>
      <c r="C200" t="inlineStr">
        <is>
          <t>[0.034617044031620026, 0.0037999649066478014, 0.000279051047982648]</t>
        </is>
      </c>
    </row>
    <row r="201">
      <c r="A201" t="inlineStr">
        <is>
          <t>init-normal</t>
        </is>
      </c>
      <c r="B201" t="inlineStr">
        <is>
          <t>mean fraction clipped</t>
        </is>
      </c>
      <c r="C201" t="n">
        <v>0</v>
      </c>
    </row>
    <row r="202">
      <c r="A202" t="inlineStr">
        <is>
          <t>init-normal</t>
        </is>
      </c>
      <c r="B202" t="inlineStr">
        <is>
          <t>max preclip gradient</t>
        </is>
      </c>
      <c r="C202" t="n">
        <v>2.490817308425903</v>
      </c>
    </row>
    <row r="203">
      <c r="A203" t="inlineStr">
        <is>
          <t>init-normal</t>
        </is>
      </c>
      <c r="B203" t="inlineStr">
        <is>
          <t>gradient norm p75</t>
        </is>
      </c>
      <c r="C203" t="n">
        <v>0.9760240763425827</v>
      </c>
    </row>
    <row r="204">
      <c r="A204" t="inlineStr">
        <is>
          <t>init-normal</t>
        </is>
      </c>
      <c r="B204" t="inlineStr">
        <is>
          <t>first epoch train loss</t>
        </is>
      </c>
      <c r="C204" t="n">
        <v>0.6278754472732544</v>
      </c>
    </row>
    <row r="205">
      <c r="A205" t="inlineStr">
        <is>
          <t>init-normal</t>
        </is>
      </c>
      <c r="B205" t="inlineStr">
        <is>
          <t>first epoch validation loss</t>
        </is>
      </c>
      <c r="C205" t="n">
        <v>0.6254299879074097</v>
      </c>
    </row>
    <row r="206">
      <c r="A206" t="inlineStr">
        <is>
          <t>init-normal</t>
        </is>
      </c>
      <c r="B206" t="inlineStr">
        <is>
          <t>total attempted update steps</t>
        </is>
      </c>
      <c r="C206" t="n">
        <v>14540</v>
      </c>
    </row>
    <row r="207">
      <c r="A207" t="inlineStr">
        <is>
          <t>init-normal</t>
        </is>
      </c>
      <c r="B207" t="inlineStr">
        <is>
          <t>GradScaler skipped overflow steps</t>
        </is>
      </c>
      <c r="C207" t="n">
        <v>0</v>
      </c>
    </row>
    <row r="208">
      <c r="A208" t="inlineStr">
        <is>
          <t>init-xavier</t>
        </is>
      </c>
      <c r="B208" t="inlineStr">
        <is>
          <t>activation stds after Linear</t>
        </is>
      </c>
      <c r="C208" t="inlineStr">
        <is>
          <t>[0.2780507802963257, 0.220273956656456, 0.19688622653484344]</t>
        </is>
      </c>
    </row>
    <row r="209">
      <c r="A209" t="inlineStr">
        <is>
          <t>init-xavier</t>
        </is>
      </c>
      <c r="B209" t="inlineStr">
        <is>
          <t>mean fraction clipped</t>
        </is>
      </c>
      <c r="C209" t="n">
        <v>0</v>
      </c>
    </row>
    <row r="210">
      <c r="A210" t="inlineStr">
        <is>
          <t>init-xavier</t>
        </is>
      </c>
      <c r="B210" t="inlineStr">
        <is>
          <t>max preclip gradient</t>
        </is>
      </c>
      <c r="C210" t="n">
        <v>2.145147085189819</v>
      </c>
    </row>
    <row r="211">
      <c r="A211" t="inlineStr">
        <is>
          <t>init-xavier</t>
        </is>
      </c>
      <c r="B211" t="inlineStr">
        <is>
          <t>gradient norm p75</t>
        </is>
      </c>
      <c r="C211" t="n">
        <v>0.9330919086933136</v>
      </c>
    </row>
    <row r="212">
      <c r="A212" t="inlineStr">
        <is>
          <t>init-xavier</t>
        </is>
      </c>
      <c r="B212" t="inlineStr">
        <is>
          <t>first epoch train loss</t>
        </is>
      </c>
      <c r="C212" t="n">
        <v>0.522580087184906</v>
      </c>
    </row>
    <row r="213">
      <c r="A213" t="inlineStr">
        <is>
          <t>init-xavier</t>
        </is>
      </c>
      <c r="B213" t="inlineStr">
        <is>
          <t>first epoch validation loss</t>
        </is>
      </c>
      <c r="C213" t="n">
        <v>0.5195602774620056</v>
      </c>
    </row>
    <row r="214">
      <c r="A214" t="inlineStr">
        <is>
          <t>init-xavier</t>
        </is>
      </c>
      <c r="B214" t="inlineStr">
        <is>
          <t>total attempted update steps</t>
        </is>
      </c>
      <c r="C214" t="n">
        <v>14540</v>
      </c>
    </row>
    <row r="215">
      <c r="A215" t="inlineStr">
        <is>
          <t>init-xavier</t>
        </is>
      </c>
      <c r="B215" t="inlineStr">
        <is>
          <t>GradScaler skipped overflow steps</t>
        </is>
      </c>
      <c r="C215" t="n">
        <v>0</v>
      </c>
    </row>
    <row r="216">
      <c r="A216" t="inlineStr">
        <is>
          <t>opt-adam-lr0.003</t>
        </is>
      </c>
      <c r="B216" t="inlineStr">
        <is>
          <t>final eval per class: class</t>
        </is>
      </c>
      <c r="C216" t="inlineStr">
        <is>
          <t>support</t>
        </is>
      </c>
      <c r="D216" t="inlineStr">
        <is>
          <t>precision</t>
        </is>
      </c>
      <c r="E216" t="inlineStr">
        <is>
          <t>recall</t>
        </is>
      </c>
      <c r="F216" t="inlineStr">
        <is>
          <t>F1</t>
        </is>
      </c>
    </row>
    <row r="217">
      <c r="A217" t="inlineStr">
        <is>
          <t>opt-adam-lr0.003</t>
        </is>
      </c>
      <c r="B217" t="inlineStr">
        <is>
          <t>class 0</t>
        </is>
      </c>
      <c r="C217" t="n">
        <v>42368</v>
      </c>
      <c r="D217" t="n">
        <v>0.8980780296927149</v>
      </c>
      <c r="E217" t="n">
        <v>0.9209072885196374</v>
      </c>
      <c r="F217" t="n">
        <v>0.9093493992751681</v>
      </c>
    </row>
    <row r="218">
      <c r="A218" t="inlineStr">
        <is>
          <t>opt-adam-lr0.003</t>
        </is>
      </c>
      <c r="B218" t="inlineStr">
        <is>
          <t>class 1</t>
        </is>
      </c>
      <c r="C218" t="n">
        <v>56661</v>
      </c>
      <c r="D218" t="n">
        <v>0.9277208922645561</v>
      </c>
      <c r="E218" t="n">
        <v>0.9226452056970403</v>
      </c>
      <c r="F218" t="n">
        <v>0.9251760874951334</v>
      </c>
    </row>
    <row r="219">
      <c r="A219" t="inlineStr">
        <is>
          <t>opt-adam-lr0.003</t>
        </is>
      </c>
      <c r="B219" t="inlineStr">
        <is>
          <t>class 2</t>
        </is>
      </c>
      <c r="C219" t="n">
        <v>7151</v>
      </c>
      <c r="D219" t="n">
        <v>0.9181741096664783</v>
      </c>
      <c r="E219" t="n">
        <v>0.9085442595441197</v>
      </c>
      <c r="F219" t="n">
        <v>0.9133338019259155</v>
      </c>
    </row>
    <row r="220">
      <c r="A220" t="inlineStr">
        <is>
          <t>opt-adam-lr0.003</t>
        </is>
      </c>
      <c r="B220" t="inlineStr">
        <is>
          <t>class 3</t>
        </is>
      </c>
      <c r="C220" t="n">
        <v>549</v>
      </c>
      <c r="D220" t="n">
        <v>0.8515769944341373</v>
      </c>
      <c r="E220" t="n">
        <v>0.8360655737704918</v>
      </c>
      <c r="F220" t="n">
        <v>0.84375</v>
      </c>
    </row>
    <row r="221">
      <c r="A221" t="inlineStr">
        <is>
          <t>opt-adam-lr0.003</t>
        </is>
      </c>
      <c r="B221" t="inlineStr">
        <is>
          <t>class 4</t>
        </is>
      </c>
      <c r="C221" t="n">
        <v>1899</v>
      </c>
      <c r="D221" t="n">
        <v>0.8687752355316285</v>
      </c>
      <c r="E221" t="n">
        <v>0.6798314902580306</v>
      </c>
      <c r="F221" t="n">
        <v>0.7627769571639587</v>
      </c>
    </row>
    <row r="222">
      <c r="A222" t="inlineStr">
        <is>
          <t>opt-adam-lr0.003</t>
        </is>
      </c>
      <c r="B222" t="inlineStr">
        <is>
          <t>class 5</t>
        </is>
      </c>
      <c r="C222" t="n">
        <v>3473</v>
      </c>
      <c r="D222" t="n">
        <v>0.8360561765548867</v>
      </c>
      <c r="E222" t="n">
        <v>0.8399078606392169</v>
      </c>
      <c r="F222" t="n">
        <v>0.8379775926457914</v>
      </c>
    </row>
    <row r="223">
      <c r="A223" t="inlineStr">
        <is>
          <t>opt-adam-lr0.003</t>
        </is>
      </c>
      <c r="B223" t="inlineStr">
        <is>
          <t>class 6</t>
        </is>
      </c>
      <c r="C223" t="n">
        <v>4102</v>
      </c>
      <c r="D223" t="n">
        <v>0.9531045323552528</v>
      </c>
      <c r="E223" t="n">
        <v>0.8868844466114091</v>
      </c>
      <c r="F223" t="n">
        <v>0.918802879151408</v>
      </c>
    </row>
    <row r="224">
      <c r="A224" t="inlineStr">
        <is>
          <t>opt-adam-lr0.003</t>
        </is>
      </c>
      <c r="B224" t="inlineStr">
        <is>
          <t>confusion matrix rows=true, columns=pred</t>
        </is>
      </c>
      <c r="C224" t="n">
        <v>0</v>
      </c>
      <c r="D224" t="n">
        <v>1</v>
      </c>
      <c r="E224" t="n">
        <v>2</v>
      </c>
      <c r="F224" t="n">
        <v>3</v>
      </c>
      <c r="G224" t="n">
        <v>4</v>
      </c>
      <c r="H224" t="n">
        <v>5</v>
      </c>
      <c r="I224" t="n">
        <v>6</v>
      </c>
    </row>
    <row r="225">
      <c r="A225" t="inlineStr">
        <is>
          <t>opt-adam-lr0.003</t>
        </is>
      </c>
      <c r="B225" t="inlineStr">
        <is>
          <t>true class 0</t>
        </is>
      </c>
      <c r="C225" t="n">
        <v>39017</v>
      </c>
      <c r="D225" t="n">
        <v>3158</v>
      </c>
      <c r="E225" t="n">
        <v>6</v>
      </c>
      <c r="F225" t="n">
        <v>0</v>
      </c>
      <c r="G225" t="n">
        <v>28</v>
      </c>
      <c r="H225" t="n">
        <v>6</v>
      </c>
      <c r="I225" t="n">
        <v>153</v>
      </c>
    </row>
    <row r="226">
      <c r="A226" t="inlineStr">
        <is>
          <t>opt-adam-lr0.003</t>
        </is>
      </c>
      <c r="B226" t="inlineStr">
        <is>
          <t>true class 1</t>
        </is>
      </c>
      <c r="C226" t="n">
        <v>3937</v>
      </c>
      <c r="D226" t="n">
        <v>52278</v>
      </c>
      <c r="E226" t="n">
        <v>160</v>
      </c>
      <c r="F226" t="n">
        <v>0</v>
      </c>
      <c r="G226" t="n">
        <v>146</v>
      </c>
      <c r="H226" t="n">
        <v>114</v>
      </c>
      <c r="I226" t="n">
        <v>26</v>
      </c>
    </row>
    <row r="227">
      <c r="A227" t="inlineStr">
        <is>
          <t>opt-adam-lr0.003</t>
        </is>
      </c>
      <c r="B227" t="inlineStr">
        <is>
          <t>true class 2</t>
        </is>
      </c>
      <c r="C227" t="n">
        <v>0</v>
      </c>
      <c r="D227" t="n">
        <v>167</v>
      </c>
      <c r="E227" t="n">
        <v>6497</v>
      </c>
      <c r="F227" t="n">
        <v>60</v>
      </c>
      <c r="G227" t="n">
        <v>16</v>
      </c>
      <c r="H227" t="n">
        <v>411</v>
      </c>
      <c r="I227" t="n">
        <v>0</v>
      </c>
    </row>
    <row r="228">
      <c r="A228" t="inlineStr">
        <is>
          <t>opt-adam-lr0.003</t>
        </is>
      </c>
      <c r="B228" t="inlineStr">
        <is>
          <t>true class 3</t>
        </is>
      </c>
      <c r="C228" t="n">
        <v>0</v>
      </c>
      <c r="D228" t="n">
        <v>0</v>
      </c>
      <c r="E228" t="n">
        <v>58</v>
      </c>
      <c r="F228" t="n">
        <v>459</v>
      </c>
      <c r="G228" t="n">
        <v>0</v>
      </c>
      <c r="H228" t="n">
        <v>32</v>
      </c>
      <c r="I228" t="n">
        <v>0</v>
      </c>
    </row>
    <row r="229">
      <c r="A229" t="inlineStr">
        <is>
          <t>opt-adam-lr0.003</t>
        </is>
      </c>
      <c r="B229" t="inlineStr">
        <is>
          <t>true class 4</t>
        </is>
      </c>
      <c r="C229" t="n">
        <v>47</v>
      </c>
      <c r="D229" t="n">
        <v>532</v>
      </c>
      <c r="E229" t="n">
        <v>20</v>
      </c>
      <c r="F229" t="n">
        <v>0</v>
      </c>
      <c r="G229" t="n">
        <v>1291</v>
      </c>
      <c r="H229" t="n">
        <v>9</v>
      </c>
      <c r="I229" t="n">
        <v>0</v>
      </c>
    </row>
    <row r="230">
      <c r="A230" t="inlineStr">
        <is>
          <t>opt-adam-lr0.003</t>
        </is>
      </c>
      <c r="B230" t="inlineStr">
        <is>
          <t>true class 5</t>
        </is>
      </c>
      <c r="C230" t="n">
        <v>16</v>
      </c>
      <c r="D230" t="n">
        <v>181</v>
      </c>
      <c r="E230" t="n">
        <v>335</v>
      </c>
      <c r="F230" t="n">
        <v>20</v>
      </c>
      <c r="G230" t="n">
        <v>4</v>
      </c>
      <c r="H230" t="n">
        <v>2917</v>
      </c>
      <c r="I230" t="n">
        <v>0</v>
      </c>
    </row>
    <row r="231">
      <c r="A231" t="inlineStr">
        <is>
          <t>opt-adam-lr0.003</t>
        </is>
      </c>
      <c r="B231" t="inlineStr">
        <is>
          <t>true class 6</t>
        </is>
      </c>
      <c r="C231" t="n">
        <v>428</v>
      </c>
      <c r="D231" t="n">
        <v>35</v>
      </c>
      <c r="E231" t="n">
        <v>0</v>
      </c>
      <c r="F231" t="n">
        <v>0</v>
      </c>
      <c r="G231" t="n">
        <v>1</v>
      </c>
      <c r="H231" t="n">
        <v>0</v>
      </c>
      <c r="I231" t="n">
        <v>3638</v>
      </c>
    </row>
    <row r="232">
      <c r="A232" t="inlineStr">
        <is>
          <t>amp-bf16</t>
        </is>
      </c>
      <c r="B232" t="inlineStr">
        <is>
          <t>FP32/AMP epoch time ratio</t>
        </is>
      </c>
      <c r="C232" t="n">
        <v>0.8067731560872825</v>
      </c>
    </row>
    <row r="233">
      <c r="A233" t="inlineStr">
        <is>
          <t>amp-fp16</t>
        </is>
      </c>
      <c r="B233" t="inlineStr">
        <is>
          <t>FP32/AMP epoch time ratio</t>
        </is>
      </c>
      <c r="C233" t="n">
        <v>0.7162387516260791</v>
      </c>
    </row>
    <row r="234">
      <c r="A234" t="inlineStr">
        <is>
          <t>opt-adam-lr0.003</t>
        </is>
      </c>
      <c r="B234" t="inlineStr">
        <is>
          <t>train class 0 support</t>
        </is>
      </c>
      <c r="C234" t="n">
        <v>135578</v>
      </c>
    </row>
    <row r="235">
      <c r="A235" t="inlineStr">
        <is>
          <t>opt-adam-lr0.003</t>
        </is>
      </c>
      <c r="B235" t="inlineStr">
        <is>
          <t>train class 1 support</t>
        </is>
      </c>
      <c r="C235" t="n">
        <v>181312</v>
      </c>
    </row>
    <row r="236">
      <c r="A236" t="inlineStr">
        <is>
          <t>opt-adam-lr0.003</t>
        </is>
      </c>
      <c r="B236" t="inlineStr">
        <is>
          <t>train class 2 support</t>
        </is>
      </c>
      <c r="C236" t="n">
        <v>22882</v>
      </c>
    </row>
    <row r="237">
      <c r="A237" t="inlineStr">
        <is>
          <t>opt-adam-lr0.003</t>
        </is>
      </c>
      <c r="B237" t="inlineStr">
        <is>
          <t>train class 3 support</t>
        </is>
      </c>
      <c r="C237" t="n">
        <v>1759</v>
      </c>
    </row>
    <row r="238">
      <c r="A238" t="inlineStr">
        <is>
          <t>opt-adam-lr0.003</t>
        </is>
      </c>
      <c r="B238" t="inlineStr">
        <is>
          <t>train class 4 support</t>
        </is>
      </c>
      <c r="C238" t="n">
        <v>6075</v>
      </c>
    </row>
    <row r="239">
      <c r="A239" t="inlineStr">
        <is>
          <t>opt-adam-lr0.003</t>
        </is>
      </c>
      <c r="B239" t="inlineStr">
        <is>
          <t>train class 5 support</t>
        </is>
      </c>
      <c r="C239" t="n">
        <v>11115</v>
      </c>
    </row>
    <row r="240">
      <c r="A240" t="inlineStr">
        <is>
          <t>opt-adam-lr0.003</t>
        </is>
      </c>
      <c r="B240" t="inlineStr">
        <is>
          <t>train class 6 support</t>
        </is>
      </c>
      <c r="C240" t="n">
        <v>13126</v>
      </c>
    </row>
    <row r="241">
      <c r="A241" t="inlineStr">
        <is>
          <t>init-zeros</t>
        </is>
      </c>
      <c r="B241" t="inlineStr">
        <is>
          <t>initial gradient net.0.weight</t>
        </is>
      </c>
      <c r="C241" t="n">
        <v>0</v>
      </c>
    </row>
    <row r="242">
      <c r="A242" t="inlineStr">
        <is>
          <t>init-zeros</t>
        </is>
      </c>
      <c r="B242" t="inlineStr">
        <is>
          <t>initial gradient net.0.bias</t>
        </is>
      </c>
      <c r="C242" t="n">
        <v>0</v>
      </c>
    </row>
    <row r="243">
      <c r="A243" t="inlineStr">
        <is>
          <t>init-zeros</t>
        </is>
      </c>
      <c r="B243" t="inlineStr">
        <is>
          <t>initial gradient net.3.weight</t>
        </is>
      </c>
      <c r="C243" t="n">
        <v>0</v>
      </c>
    </row>
    <row r="244">
      <c r="A244" t="inlineStr">
        <is>
          <t>init-zeros</t>
        </is>
      </c>
      <c r="B244" t="inlineStr">
        <is>
          <t>initial gradient net.3.bias</t>
        </is>
      </c>
      <c r="C244" t="n">
        <v>0</v>
      </c>
    </row>
    <row r="245">
      <c r="A245" t="inlineStr">
        <is>
          <t>init-zeros</t>
        </is>
      </c>
      <c r="B245" t="inlineStr">
        <is>
          <t>initial gradient net.6.weight</t>
        </is>
      </c>
      <c r="C245" t="n">
        <v>0</v>
      </c>
    </row>
    <row r="246">
      <c r="A246" t="inlineStr">
        <is>
          <t>init-zeros</t>
        </is>
      </c>
      <c r="B246" t="inlineStr">
        <is>
          <t>initial gradient net.6.bias</t>
        </is>
      </c>
      <c r="C246" t="n">
        <v>0.4967118799686432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ns0:worksheet xmlns:ns0="http://schemas.openxmlformats.org/spreadsheetml/2006/main">
  <ns0:sheetPr filterMode="0">
    <ns0:outlinePr summaryBelow="1" summaryRight="1"/>
    <ns0:pageSetUpPr fitToPage="0"/>
  </ns0:sheetPr>
  <ns0:dimension ref="A1:AG61"/>
  <ns0:sheetViews>
    <ns0: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ns0:pane xSplit="1" ySplit="1" topLeftCell="B2" activePane="bottomRight" state="frozen"/>
      <ns0:selection pane="topLeft" activeCell="A1" activeCellId="0" sqref="A1"/>
      <ns0:selection pane="topRight" activeCell="B1" activeCellId="0" sqref="B1"/>
      <ns0:selection pane="bottomLeft" activeCell="A2" activeCellId="0" sqref="A2"/>
      <ns0:selection pane="bottomRight" activeCell="A1" activeCellId="0" sqref="A1"/>
    </ns0:sheetView>
  </ns0:sheetViews>
  <ns0:sheetFormatPr baseColWidth="8" defaultColWidth="8.6796875" defaultRowHeight="15" customHeight="0" zeroHeight="0" outlineLevelRow="0"/>
  <ns0:cols>
    <ns0:col width="16" customWidth="1" style="19" min="1" max="1"/>
    <ns0:col width="11" customWidth="1" style="19" min="2" max="2"/>
    <ns0:col width="34" customWidth="1" style="19" min="3" max="3"/>
    <ns0:col width="8" customWidth="1" style="19" min="4" max="4"/>
    <ns0:col width="15" customWidth="1" style="19" min="5" max="5"/>
    <ns0:col width="9" customWidth="1" style="19" min="6" max="7"/>
    <ns0:col width="7" customWidth="1" style="19" min="8" max="9"/>
    <ns0:col width="12" customWidth="1" style="19" min="10" max="10"/>
    <ns0:col width="8" customWidth="1" style="19" min="11" max="11"/>
    <ns0:col width="9" customWidth="1" style="19" min="12" max="12"/>
    <ns0:col width="10" customWidth="1" style="19" min="13" max="13"/>
    <ns0:col width="9" customWidth="1" style="19" min="14" max="14"/>
    <ns0:col width="6" customWidth="1" style="19" min="15" max="15"/>
    <ns0:col width="10" customWidth="1" style="19" min="16" max="17"/>
    <ns0:col width="8" customWidth="1" style="19" min="18" max="18"/>
    <ns0:col width="10" customWidth="1" style="19" min="19" max="20"/>
    <ns0:col width="9" customWidth="1" style="19" min="21" max="22"/>
    <ns0:col width="10" customWidth="1" style="19" min="23" max="23"/>
    <ns0:col width="9" customWidth="1" style="19" min="24" max="27"/>
    <ns0:col width="22" customWidth="1" style="19" min="28" max="28"/>
    <ns0:col width="36" customWidth="1" style="19" min="29" max="29"/>
    <ns0:col width="10" customWidth="1" style="19" min="30" max="32"/>
    <ns0:col width="9" customWidth="1" style="19" min="33" max="33"/>
  </ns0:cols>
  <ns0:sheetData>
    <ns0:row r="1" ht="42" customHeight="1" s="20">
      <ns0:c r="A1" s="27" t="inlineStr">
        <ns0:is>
          <ns0:t>exp_id</ns0:t>
        </ns0:is>
      </ns0:c>
      <ns0:c r="B1" s="27" t="inlineStr">
        <ns0:is>
          <ns0:t>group</ns0:t>
        </ns0:is>
      </ns0:c>
      <ns0:c r="C1" s="27" t="inlineStr">
        <ns0:is>
          <ns0:t>description</ns0:t>
        </ns0:is>
      </ns0:c>
      <ns0:c r="D1" s="27" t="inlineStr">
        <ns0:is>
          <ns0:t>loss</ns0:t>
        </ns0:is>
      </ns0:c>
      <ns0:c r="E1" s="27" t="inlineStr">
        <ns0:is>
          <ns0:t>optimizer</ns0:t>
        </ns0:is>
      </ns0:c>
      <ns0:c r="F1" s="27" t="inlineStr">
        <ns0:is>
          <ns0:t>lr</ns0:t>
        </ns0:is>
      </ns0:c>
      <ns0:c r="G1" s="27" t="inlineStr">
        <ns0:is>
          <ns0:t>weight_decay</ns0:t>
        </ns0:is>
      </ns0:c>
      <ns0:c r="H1" s="27" t="inlineStr">
        <ns0:is>
          <ns0:t>batch</ns0:t>
        </ns0:is>
      </ns0:c>
      <ns0:c r="I1" s="27" t="inlineStr">
        <ns0:is>
          <ns0:t>epochs</ns0:t>
        </ns0:is>
      </ns0:c>
      <ns0:c r="J1" s="27" t="inlineStr">
        <ns0:is>
          <ns0:t>hidden</ns0:t>
        </ns0:is>
      </ns0:c>
      <ns0:c r="K1" s="27" t="inlineStr">
        <ns0:is>
          <ns0:t>dropout</ns0:t>
        </ns0:is>
      </ns0:c>
      <ns0:c r="L1" s="27" t="inlineStr">
        <ns0:is>
          <ns0:t>clip_norm</ns0:t>
        </ns0:is>
      </ns0:c>
      <ns0:c r="M1" s="27" t="inlineStr">
        <ns0:is>
          <ns0:t>precision</ns0:t>
        </ns0:is>
      </ns0:c>
      <ns0:c r="N1" s="27" t="inlineStr">
        <ns0:is>
          <ns0:t>init</ns0:t>
        </ns0:is>
      </ns0:c>
      <ns0:c r="O1" s="27" t="inlineStr">
        <ns0:is>
          <ns0:t>seed</ns0:t>
        </ns0:is>
      </ns0:c>
      <ns0:c r="P1" s="27" t="inlineStr">
        <ns0:is>
          <ns0:t>step0_loss</ns0:t>
        </ns0:is>
      </ns0:c>
      <ns0:c r="Q1" s="27" t="inlineStr">
        <ns0:is>
          <ns0:t>best_val_loss</ns0:t>
        </ns0:is>
      </ns0:c>
      <ns0:c r="R1" s="27" t="inlineStr">
        <ns0:is>
          <ns0:t>best_epoch</ns0:t>
        </ns0:is>
      </ns0:c>
      <ns0:c r="S1" s="27" t="inlineStr">
        <ns0:is>
          <ns0:t>final_train_loss</ns0:t>
        </ns0:is>
      </ns0:c>
      <ns0:c r="T1" s="27" t="inlineStr">
        <ns0:is>
          <ns0:t>final_val_loss</ns0:t>
        </ns0:is>
      </ns0:c>
      <ns0:c r="U1" s="27" t="inlineStr">
        <ns0:is>
          <ns0:t>val_acc</ns0:t>
        </ns0:is>
      </ns0:c>
      <ns0:c r="V1" s="27" t="inlineStr">
        <ns0:is>
          <ns0:t>val_macro_f1</ns0:t>
        </ns0:is>
      </ns0:c>
      <ns0:c r="W1" s="27" t="inlineStr">
        <ns0:is>
          <ns0:t>time_per_epoch_s</ns0:t>
        </ns0:is>
      </ns0:c>
      <ns0:c r="X1" s="27" t="inlineStr">
        <ns0:is>
          <ns0:t>peak_mem_MB</ns0:t>
        </ns0:is>
      </ns0:c>
      <ns0:c r="Y1" s="27" t="inlineStr">
        <ns0:is>
          <ns0:t>diverged</ns0:t>
        </ns0:is>
      </ns0:c>
      <ns0:c r="Z1" s="27" t="inlineStr">
        <ns0:is>
          <ns0:t>eval_acc</ns0:t>
        </ns0:is>
      </ns0:c>
      <ns0:c r="AA1" s="27" t="inlineStr">
        <ns0:is>
          <ns0:t>eval_macro_f1</ns0:t>
        </ns0:is>
      </ns0:c>
      <ns0:c r="AB1" s="27" t="inlineStr">
        <ns0:is>
          <ns0:t>figure_file</ns0:t>
        </ns0:is>
      </ns0:c>
      <ns0:c r="AC1" s="27" t="inlineStr">
        <ns0:is>
          <ns0:t>notes</ns0:t>
        </ns0:is>
      </ns0:c>
      <ns0:c r="AD1" s="27" t="inlineStr">
        <ns0:is>
          <ns0:t>step0_gap_vs_lnC</ns0:t>
        </ns0:is>
      </ns0:c>
      <ns0:c r="AE1" s="27" t="inlineStr">
        <ns0:is>
          <ns0:t>gap_val_minus_train</ns0:t>
        </ns0:is>
      </ns0:c>
      <ns0:c r="AF1" s="27" t="inlineStr">
        <ns0:is>
          <ns0:t>delta_val_f1_vs_base</ns0:t>
        </ns0:is>
      </ns0:c>
      <ns0:c r="AG1" s="27" t="inlineStr">
        <ns0:is>
          <ns0:t>beyond_noise</ns0:t>
        </ns0:is>
      </ns0:c>
    </ns0:row>
    <ns0:row r="2" ht="15" customHeight="1" s="20">
      <ns0:c r="A2" s="32" t="inlineStr">
        <ns0:is>
          <ns0:t>base-s1</ns0:t>
        </ns0:is>
      </ns0:c>
      <ns0:c r="B2" s="32" t="inlineStr">
        <ns0:is>
          <ns0:t>baseline</ns0:t>
        </ns0:is>
      </ns0:c>
      <ns0:c r="C2" s="32" t="inlineStr">
        <ns0:is>
          <ns0:t>Tuned SGD momentum baseline, seed 1</ns0:t>
        </ns0:is>
      </ns0:c>
      <ns0:c r="D2" s="32" t="inlineStr">
        <ns0:is>
          <ns0:t>ce</ns0:t>
        </ns0:is>
      </ns0:c>
      <ns0:c r="E2" s="32" t="inlineStr">
        <ns0:is>
          <ns0:t>sgd_momentum</ns0:t>
        </ns0:is>
      </ns0:c>
      <ns0:c r="F2" s="33" t="n">
        <ns0:v>0.05</ns0:v>
      </ns0:c>
      <ns0:c r="G2" s="32" t="n">
        <ns0:v>0</ns0:v>
      </ns0:c>
      <ns0:c r="H2" s="32" t="n">
        <ns0:v>512</ns0:v>
      </ns0:c>
      <ns0:c r="I2" s="32" t="n">
        <ns0:v>20</ns0:v>
      </ns0:c>
      <ns0:c r="J2" s="32" t="inlineStr">
        <ns0:is>
          <ns0:t>256-128</ns0:t>
        </ns0:is>
      </ns0:c>
      <ns0:c r="K2" s="32" t="n">
        <ns0:v>0</ns0:v>
      </ns0:c>
      <ns0:c r="L2" s="32" t="inlineStr">
        <ns0:is>
          <ns0:t>none</ns0:t>
        </ns0:is>
      </ns0:c>
      <ns0:c r="M2" s="32" t="inlineStr">
        <ns0:is>
          <ns0:t>fp32</ns0:t>
        </ns0:is>
      </ns0:c>
      <ns0:c r="N2" s="32" t="inlineStr">
        <ns0:is>
          <ns0:t>he</ns0:t>
        </ns0:is>
      </ns0:c>
      <ns0:c r="O2" s="32" t="n">
        <ns0:v>1</ns0:v>
      </ns0:c>
      <ns0:c r="P2" s="34" t="n">
        <ns0:v>2.26906156539917</ns0:v>
      </ns0:c>
      <ns0:c r="Q2" s="34" t="n">
        <ns0:v>0.2467650473117828</ns0:v>
      </ns0:c>
      <ns0:c r="R2" s="33" t="n">
        <ns0:v>20</ns0:v>
      </ns0:c>
      <ns0:c r="S2" s="34" t="n">
        <ns0:v>0.2259315699338913</ns0:v>
      </ns0:c>
      <ns0:c r="T2" s="34" t="n">
        <ns0:v>0.2467650473117828</ns0:v>
      </ns0:c>
      <ns0:c r="U2" s="34" t="n">
        <ns0:v>0.9001097222521031</ns0:v>
      </ns0:c>
      <ns0:c r="V2" s="34" t="n">
        <ns0:v>0.8349256128244456</ns0:v>
      </ns0:c>
      <ns0:c r="W2" s="33" t="n">
        <ns0:v>0.3189705648999961</ns0:v>
      </ns0:c>
      <ns0:c r="X2" s="33" t="n">
        <ns0:v>150.64794921875</ns0:v>
      </ns0:c>
      <ns0:c r="Y2" s="33" t="b">
        <ns0:v>0</ns0:v>
      </ns0:c>
      <ns0:c r="Z2" s="34" t="n">
        <ns0:v>0.8990817793000181</ns0:v>
      </ns0:c>
      <ns0:c r="AA2" s="34" t="n">
        <ns0:v>0.8396213301950703</ns0:v>
      </ns0:c>
      <ns0:c r="AB2" s="33" t="inlineStr">
        <ns0:is>
          <ns0:t>figures/base-s1.png</ns0:t>
        </ns0:is>
      </ns0:c>
      <ns0:c r="AC2" s="33" t="inlineStr">
        <ns0:is>
          <ns0:t>lr .05 should converge faster than .01; larger lr may oscillate.; lr selected using validation among .01 and .05; checkpoint by minimum val loss; memory=CUDA allocated peak; train loss: fixed 50000 probe, eval mode; delta vs base-s1=0.000000; 2sigma=0.003827; selected final=False</ns0:t>
        </ns0:is>
      </ns0:c>
      <ns0:c r="AD2" s="35">
        <ns0:f>IF(P2="","",P2-LN(7))</ns0:f>
        <ns0:v>0.3231514163438567</ns0:v>
      </ns0:c>
      <ns0:c r="AE2" s="35">
        <ns0:f>IF(OR(T2="",S2=""),"",T2-S2)</ns0:f>
        <ns0:v>0.020833477377891513</ns0:v>
      </ns0:c>
      <ns0:c r="AF2" s="35">
        <ns0:f>IF(OR(V2="",Seeds!$C$8=""),"",V2-Seeds!$C$8)</ns0:f>
        <ns0:v>0.000448415972391758</ns0:v>
      </ns0:c>
      <ns0:c r="AG2" s="35" t="str">
        <ns0:f>IF(OR(AF2="",Seeds!$C$10=""),"",IF(ABS(AF2)&gt;Seeds!$C$10,"Có","Không"))</ns0:f>
        <ns0:v>Không</ns0:v>
      </ns0:c>
    </ns0:row>
    <ns0:row r="3" ht="15" customHeight="1" s="20">
      <ns0:c r="A3" s="33" t="inlineStr">
        <ns0:is>
          <ns0:t>tune-sgd-lr0.01</ns0:t>
        </ns0:is>
      </ns0:c>
      <ns0:c r="B3" s="33" t="inlineStr">
        <ns0:is>
          <ns0:t>optimizer</ns0:t>
        </ns0:is>
      </ns0:c>
      <ns0:c r="C3" s="33" t="inlineStr">
        <ns0:is>
          <ns0:t>Baseline M-base</ns0:t>
        </ns0:is>
      </ns0:c>
      <ns0:c r="D3" s="33" t="inlineStr">
        <ns0:is>
          <ns0:t>ce</ns0:t>
        </ns0:is>
      </ns0:c>
      <ns0:c r="E3" s="33" t="inlineStr">
        <ns0:is>
          <ns0:t>sgd_momentum</ns0:t>
        </ns0:is>
      </ns0:c>
      <ns0:c r="F3" s="33" t="n">
        <ns0:v>0.01</ns0:v>
      </ns0:c>
      <ns0:c r="G3" s="33" t="n">
        <ns0:v>0</ns0:v>
      </ns0:c>
      <ns0:c r="H3" s="33" t="n">
        <ns0:v>512</ns0:v>
      </ns0:c>
      <ns0:c r="I3" s="33" t="n">
        <ns0:v>20</ns0:v>
      </ns0:c>
      <ns0:c r="J3" s="33" t="inlineStr">
        <ns0:is>
          <ns0:t>256-128</ns0:t>
        </ns0:is>
      </ns0:c>
      <ns0:c r="K3" s="33" t="n">
        <ns0:v>0</ns0:v>
      </ns0:c>
      <ns0:c r="L3" s="33" t="inlineStr">
        <ns0:is>
          <ns0:t>none</ns0:t>
        </ns0:is>
      </ns0:c>
      <ns0:c r="M3" s="33" t="inlineStr">
        <ns0:is>
          <ns0:t>fp32</ns0:t>
        </ns0:is>
      </ns0:c>
      <ns0:c r="N3" s="33" t="inlineStr">
        <ns0:is>
          <ns0:t>he</ns0:t>
        </ns0:is>
      </ns0:c>
      <ns0:c r="O3" s="33" t="n">
        <ns0:v>1</ns0:v>
      </ns0:c>
      <ns0:c r="P3" s="34" t="n">
        <ns0:v>2.26906156539917</ns0:v>
      </ns0:c>
      <ns0:c r="Q3" s="34" t="n">
        <ns0:v>0.3227938413619995</ns0:v>
      </ns0:c>
      <ns0:c r="R3" s="33" t="n">
        <ns0:v>19</ns0:v>
      </ns0:c>
      <ns0:c r="S3" s="34" t="n">
        <ns0:v>0.3288114368915558</ns0:v>
      </ns0:c>
      <ns0:c r="T3" s="34" t="n">
        <ns0:v>0.3395210802555084</ns0:v>
      </ns0:c>
      <ns0:c r="U3" s="34" t="n">
        <ns0:v>0.8679675566360449</ns0:v>
      </ns0:c>
      <ns0:c r="V3" s="34" t="n">
        <ns0:v>0.7600586231960794</ns0:v>
      </ns0:c>
      <ns0:c r="W3" s="33" t="n">
        <ns0:v>0.3196418180999785</ns0:v>
      </ns0:c>
      <ns0:c r="X3" s="33" t="n">
        <ns0:v>150.64794921875</ns0:v>
      </ns0:c>
      <ns0:c r="Y3" s="33" t="b">
        <ns0:v>0</ns0:v>
      </ns0:c>
      <ns0:c r="Z3" s="34" t="n"/>
      <ns0:c r="AA3" s="34" t="n"/>
      <ns0:c r="AB3" s="33" t="inlineStr">
        <ns0:is>
          <ns0:t>figures/tune-sgd-lr0.01.png</ns0:t>
        </ns0:is>
      </ns0:c>
      <ns0:c r="AC3" s="33" t="inlineStr">
        <ns0:is>
          <ns0:t>lr .05 should converge faster than .01; larger lr may oscillate.; memory=CUDA allocated peak; train loss: fixed 50000 probe, eval mode; delta vs base-s1=-0.074867; 2sigma=0.003827; selected final=False</ns0:t>
        </ns0:is>
      </ns0:c>
      <ns0:c r="AD3" s="35">
        <ns0:f>IF(P3="","",P3-LN(7))</ns0:f>
        <ns0:v>0.3231514163438567</ns0:v>
      </ns0:c>
      <ns0:c r="AE3" s="35">
        <ns0:f>IF(OR(T3="",S3=""),"",T3-S3)</ns0:f>
        <ns0:v>0.010709643363952637</ns0:v>
      </ns0:c>
      <ns0:c r="AF3" s="35">
        <ns0:f>IF(OR(V3="",Seeds!$C$8=""),"",V3-Seeds!$C$8)</ns0:f>
        <ns0:v>-0.07441857365597437</ns0:v>
      </ns0:c>
      <ns0:c r="AG3" s="35" t="str">
        <ns0:f>IF(OR(AF3="",Seeds!$C$10=""),"",IF(ABS(AF3)&gt;Seeds!$C$10,"Có","Không"))</ns0:f>
        <ns0:v>Có</ns0:v>
      </ns0:c>
    </ns0:row>
    <ns0:row r="4" ht="15" customHeight="1" s="20">
      <ns0:c r="A4" s="33" t="inlineStr">
        <ns0:is>
          <ns0:t>base-s2</ns0:t>
        </ns0:is>
      </ns0:c>
      <ns0:c r="B4" s="33" t="inlineStr">
        <ns0:is>
          <ns0:t>baseline</ns0:t>
        </ns0:is>
      </ns0:c>
      <ns0:c r="C4" s="33" t="inlineStr">
        <ns0:is>
          <ns0:t>Baseline seed 2</ns0:t>
        </ns0:is>
      </ns0:c>
      <ns0:c r="D4" s="33" t="inlineStr">
        <ns0:is>
          <ns0:t>ce</ns0:t>
        </ns0:is>
      </ns0:c>
      <ns0:c r="E4" s="33" t="inlineStr">
        <ns0:is>
          <ns0:t>sgd_momentum</ns0:t>
        </ns0:is>
      </ns0:c>
      <ns0:c r="F4" s="33" t="n">
        <ns0:v>0.05</ns0:v>
      </ns0:c>
      <ns0:c r="G4" s="33" t="n">
        <ns0:v>0</ns0:v>
      </ns0:c>
      <ns0:c r="H4" s="33" t="n">
        <ns0:v>512</ns0:v>
      </ns0:c>
      <ns0:c r="I4" s="33" t="n">
        <ns0:v>20</ns0:v>
      </ns0:c>
      <ns0:c r="J4" s="33" t="inlineStr">
        <ns0:is>
          <ns0:t>256-128</ns0:t>
        </ns0:is>
      </ns0:c>
      <ns0:c r="K4" s="33" t="n">
        <ns0:v>0</ns0:v>
      </ns0:c>
      <ns0:c r="L4" s="33" t="inlineStr">
        <ns0:is>
          <ns0:t>none</ns0:t>
        </ns0:is>
      </ns0:c>
      <ns0:c r="M4" s="33" t="inlineStr">
        <ns0:is>
          <ns0:t>fp32</ns0:t>
        </ns0:is>
      </ns0:c>
      <ns0:c r="N4" s="33" t="inlineStr">
        <ns0:is>
          <ns0:t>he</ns0:t>
        </ns0:is>
      </ns0:c>
      <ns0:c r="O4" s="33" t="n">
        <ns0:v>2</ns0:v>
      </ns0:c>
      <ns0:c r="P4" s="34" t="n">
        <ns0:v>1.978156447410583</ns0:v>
      </ns0:c>
      <ns0:c r="Q4" s="34" t="n">
        <ns0:v>0.2550846338272095</ns0:v>
      </ns0:c>
      <ns0:c r="R4" s="33" t="n">
        <ns0:v>18</ns0:v>
      </ns0:c>
      <ns0:c r="S4" s="34" t="n">
        <ns0:v>0.2470827102661133</ns0:v>
      </ns0:c>
      <ns0:c r="T4" s="34" t="n">
        <ns0:v>0.2650178074836731</ns0:v>
      </ns0:c>
      <ns0:c r="U4" s="34" t="n">
        <ns0:v>0.8967535121877757</ns0:v>
      </ns0:c>
      <ns0:c r="V4" s="34" t="n">
        <ns0:v>0.8323791641845902</ns0:v>
      </ns0:c>
      <ns0:c r="W4" s="33" t="n">
        <ns0:v>0.3186456139999791</ns0:v>
      </ns0:c>
      <ns0:c r="X4" s="33" t="n">
        <ns0:v>150.64794921875</ns0:v>
      </ns0:c>
      <ns0:c r="Y4" s="33" t="b">
        <ns0:v>0</ns0:v>
      </ns0:c>
      <ns0:c r="Z4" s="34" t="n"/>
      <ns0:c r="AA4" s="34" t="n"/>
      <ns0:c r="AB4" s="33" t="inlineStr">
        <ns0:is>
          <ns0:t>figures/base-s2.png</ns0:t>
        </ns0:is>
      </ns0:c>
      <ns0:c r="AC4" s="33" t="inlineStr">
        <ns0:is>
          <ns0:t>lr .05 should converge faster than .01; larger lr may oscillate.; lr selected using validation among .01 and .05; checkpoint by minimum val loss; memory=CUDA allocated peak; train loss: fixed 50000 probe, eval mode; delta vs base-s1=-0.002546; 2sigma=0.003827; selected final=False</ns0:t>
        </ns0:is>
      </ns0:c>
      <ns0:c r="AD4" s="35">
        <ns0:f>IF(P4="","",P4-LN(7))</ns0:f>
        <ns0:v>0.03224629835526982</ns0:v>
      </ns0:c>
      <ns0:c r="AE4" s="35">
        <ns0:f>IF(OR(T4="",S4=""),"",T4-S4)</ns0:f>
        <ns0:v>0.017935097217559787</ns0:v>
      </ns0:c>
      <ns0:c r="AF4" s="35">
        <ns0:f>IF(OR(V4="",Seeds!$C$8=""),"",V4-Seeds!$C$8)</ns0:f>
        <ns0:v>-0.0020980326674635563</ns0:v>
      </ns0:c>
      <ns0:c r="AG4" s="35" t="str">
        <ns0:f>IF(OR(AF4="",Seeds!$C$10=""),"",IF(ABS(AF4)&gt;Seeds!$C$10,"Có","Không"))</ns0:f>
        <ns0:v>Không</ns0:v>
      </ns0:c>
    </ns0:row>
    <ns0:row r="5" ht="15" customHeight="1" s="20">
      <ns0:c r="A5" s="33" t="inlineStr">
        <ns0:is>
          <ns0:t>base-s3</ns0:t>
        </ns0:is>
      </ns0:c>
      <ns0:c r="B5" s="33" t="inlineStr">
        <ns0:is>
          <ns0:t>baseline</ns0:t>
        </ns0:is>
      </ns0:c>
      <ns0:c r="C5" s="33" t="inlineStr">
        <ns0:is>
          <ns0:t>Baseline seed 3</ns0:t>
        </ns0:is>
      </ns0:c>
      <ns0:c r="D5" s="33" t="inlineStr">
        <ns0:is>
          <ns0:t>ce</ns0:t>
        </ns0:is>
      </ns0:c>
      <ns0:c r="E5" s="33" t="inlineStr">
        <ns0:is>
          <ns0:t>sgd_momentum</ns0:t>
        </ns0:is>
      </ns0:c>
      <ns0:c r="F5" s="33" t="n">
        <ns0:v>0.05</ns0:v>
      </ns0:c>
      <ns0:c r="G5" s="33" t="n">
        <ns0:v>0</ns0:v>
      </ns0:c>
      <ns0:c r="H5" s="33" t="n">
        <ns0:v>512</ns0:v>
      </ns0:c>
      <ns0:c r="I5" s="33" t="n">
        <ns0:v>20</ns0:v>
      </ns0:c>
      <ns0:c r="J5" s="33" t="inlineStr">
        <ns0:is>
          <ns0:t>256-128</ns0:t>
        </ns0:is>
      </ns0:c>
      <ns0:c r="K5" s="33" t="n">
        <ns0:v>0</ns0:v>
      </ns0:c>
      <ns0:c r="L5" s="33" t="inlineStr">
        <ns0:is>
          <ns0:t>none</ns0:t>
        </ns0:is>
      </ns0:c>
      <ns0:c r="M5" s="33" t="inlineStr">
        <ns0:is>
          <ns0:t>fp32</ns0:t>
        </ns0:is>
      </ns0:c>
      <ns0:c r="N5" s="33" t="inlineStr">
        <ns0:is>
          <ns0:t>he</ns0:t>
        </ns0:is>
      </ns0:c>
      <ns0:c r="O5" s="33" t="n">
        <ns0:v>3</ns0:v>
      </ns0:c>
      <ns0:c r="P5" s="34" t="n">
        <ns0:v>1.900539994239807</ns0:v>
      </ns0:c>
      <ns0:c r="Q5" s="34" t="n">
        <ns0:v>0.2505817413330078</ns0:v>
      </ns0:c>
      <ns0:c r="R5" s="33" t="n">
        <ns0:v>19</ns0:v>
      </ns0:c>
      <ns0:c r="S5" s="34" t="n">
        <ns0:v>0.2424731701612473</ns0:v>
      </ns0:c>
      <ns0:c r="T5" s="34" t="n">
        <ns0:v>0.2618051469326019</ns0:v>
      </ns0:c>
      <ns0:c r="U5" s="34" t="n">
        <ns0:v>0.8974742367849229</ns0:v>
      </ns0:c>
      <ns0:c r="V5" s="34" t="n">
        <ns0:v>0.8361268135471251</ns0:v>
      </ns0:c>
      <ns0:c r="W5" s="33" t="n">
        <ns0:v>0.3192379735999907</ns0:v>
      </ns0:c>
      <ns0:c r="X5" s="33" t="n">
        <ns0:v>150.64794921875</ns0:v>
      </ns0:c>
      <ns0:c r="Y5" s="33" t="b">
        <ns0:v>0</ns0:v>
      </ns0:c>
      <ns0:c r="Z5" s="34" t="n"/>
      <ns0:c r="AA5" s="34" t="n"/>
      <ns0:c r="AB5" s="33" t="inlineStr">
        <ns0:is>
          <ns0:t>figures/base-s3.png</ns0:t>
        </ns0:is>
      </ns0:c>
      <ns0:c r="AC5" s="33" t="inlineStr">
        <ns0:is>
          <ns0:t>lr .05 should converge faster than .01; larger lr may oscillate.; lr selected using validation among .01 and .05; checkpoint by minimum val loss; memory=CUDA allocated peak; train loss: fixed 50000 probe, eval mode; delta vs base-s1=0.001201; 2sigma=0.003827; selected final=False</ns0:t>
        </ns0:is>
      </ns0:c>
      <ns0:c r="AD5" s="35">
        <ns0:f>IF(P5="","",P5-LN(7))</ns0:f>
        <ns0:v>-0.045370154815506325</ns0:v>
      </ns0:c>
      <ns0:c r="AE5" s="35">
        <ns0:f>IF(OR(T5="",S5=""),"",T5-S5)</ns0:f>
        <ns0:v>0.019331976771354564</ns0:v>
      </ns0:c>
      <ns0:c r="AF5" s="35">
        <ns0:f>IF(OR(V5="",Seeds!$C$8=""),"",V5-Seeds!$C$8)</ns0:f>
        <ns0:v>0.0016496166950713542</ns0:v>
      </ns0:c>
      <ns0:c r="AG5" s="35" t="str">
        <ns0:f>IF(OR(AF5="",Seeds!$C$10=""),"",IF(ABS(AF5)&gt;Seeds!$C$10,"Có","Không"))</ns0:f>
        <ns0:v>Không</ns0:v>
      </ns0:c>
    </ns0:row>
    <ns0:row r="6" ht="15" customHeight="1" s="20">
      <ns0:c r="A6" s="33" t="inlineStr">
        <ns0:is>
          <ns0:t>loss-mse</ns0:t>
        </ns0:is>
      </ns0:c>
      <ns0:c r="B6" s="33" t="inlineStr">
        <ns0:is>
          <ns0:t>loss</ns0:t>
        </ns0:is>
      </ns0:c>
      <ns0:c r="C6" s="33" t="inlineStr">
        <ns0:is>
          <ns0:t>MSE on raw logits vs one-hot</ns0:t>
        </ns0:is>
      </ns0:c>
      <ns0:c r="D6" s="33" t="inlineStr">
        <ns0:is>
          <ns0:t>mse</ns0:t>
        </ns0:is>
      </ns0:c>
      <ns0:c r="E6" s="33" t="inlineStr">
        <ns0:is>
          <ns0:t>sgd_momentum</ns0:t>
        </ns0:is>
      </ns0:c>
      <ns0:c r="F6" s="33" t="n">
        <ns0:v>0.05</ns0:v>
      </ns0:c>
      <ns0:c r="G6" s="33" t="n">
        <ns0:v>0</ns0:v>
      </ns0:c>
      <ns0:c r="H6" s="33" t="n">
        <ns0:v>512</ns0:v>
      </ns0:c>
      <ns0:c r="I6" s="33" t="n">
        <ns0:v>20</ns0:v>
      </ns0:c>
      <ns0:c r="J6" s="33" t="inlineStr">
        <ns0:is>
          <ns0:t>256-128</ns0:t>
        </ns0:is>
      </ns0:c>
      <ns0:c r="K6" s="33" t="n">
        <ns0:v>0</ns0:v>
      </ns0:c>
      <ns0:c r="L6" s="33" t="inlineStr">
        <ns0:is>
          <ns0:t>none</ns0:t>
        </ns0:is>
      </ns0:c>
      <ns0:c r="M6" s="33" t="inlineStr">
        <ns0:is>
          <ns0:t>fp32</ns0:t>
        </ns0:is>
      </ns0:c>
      <ns0:c r="N6" s="33" t="inlineStr">
        <ns0:is>
          <ns0:t>he</ns0:t>
        </ns0:is>
      </ns0:c>
      <ns0:c r="O6" s="33" t="n">
        <ns0:v>1</ns0:v>
      </ns0:c>
      <ns0:c r="P6" s="34" t="n">
        <ns0:v>0.6358503699302673</ns0:v>
      </ns0:c>
      <ns0:c r="Q6" s="34" t="n">
        <ns0:v>0.0321885384619236</ns0:v>
      </ns0:c>
      <ns0:c r="R6" s="33" t="n">
        <ns0:v>20</ns0:v>
      </ns0:c>
      <ns0:c r="S6" s="34" t="n">
        <ns0:v>0.03160843253135681</ns0:v>
      </ns0:c>
      <ns0:c r="T6" s="34" t="n">
        <ns0:v>0.0321885384619236</ns0:v>
      </ns0:c>
      <ns0:c r="U6" s="34" t="n">
        <ns0:v>0.8546072588799725</ns0:v>
      </ns0:c>
      <ns0:c r="V6" s="34" t="n">
        <ns0:v>0.6964788540927839</ns0:v>
      </ns0:c>
      <ns0:c r="W6" s="33" t="n">
        <ns0:v>0.3382311077000395</ns0:v>
      </ns0:c>
      <ns0:c r="X6" s="33" t="n">
        <ns0:v>150.6513671875</ns0:v>
      </ns0:c>
      <ns0:c r="Y6" s="33" t="b">
        <ns0:v>0</ns0:v>
      </ns0:c>
      <ns0:c r="Z6" s="34" t="n"/>
      <ns0:c r="AA6" s="34" t="n"/>
      <ns0:c r="AB6" s="33" t="inlineStr">
        <ns0:is>
          <ns0:t>figures/loss-mse.png</ns0:t>
        </ns0:is>
      </ns0:c>
      <ns0:c r="AC6" s="33" t="inlineStr">
        <ns0:is>
          <ns0:t>MSE trên logits và nhãn one-hot có gradient khác CE; không so hai giá trị loss.
Dự đoán CE phù hợp phân loại và có macro-F1 tốt hơn trong cùng lịch huấn luyện.; lr selected using validation among .01 and .05; checkpoint by minimum val loss; memory=CUDA allocated peak; train loss: fixed 50000 probe, eval mode; delta vs base-s1=-0.138447; 2sigma=0.003827; selected final=False</ns0:t>
        </ns0:is>
      </ns0:c>
      <ns0:c r="AD6" s="35">
        <ns0:f>IF(P6="","",P6-LN(7))</ns0:f>
        <ns0:v>-1.310059779125046</ns0:v>
      </ns0:c>
      <ns0:c r="AE6" s="35">
        <ns0:f>IF(OR(T6="",S6=""),"",T6-S6)</ns0:f>
        <ns0:v>0.0005801059305667877</ns0:v>
      </ns0:c>
      <ns0:c r="AF6" s="35">
        <ns0:f>IF(OR(V6="",Seeds!$C$8=""),"",V6-Seeds!$C$8)</ns0:f>
        <ns0:v>-0.13799834275926992</ns0:v>
      </ns0:c>
      <ns0:c r="AG6" s="35" t="str">
        <ns0:f>IF(OR(AF6="",Seeds!$C$10=""),"",IF(ABS(AF6)&gt;Seeds!$C$10,"Có","Không"))</ns0:f>
        <ns0:v>Có</ns0:v>
      </ns0:c>
    </ns0:row>
    <ns0:row r="7" ht="15" customHeight="1" s="20">
      <ns0:c r="A7" s="33" t="inlineStr">
        <ns0:is>
          <ns0:t>opt-adam-lr0.001</ns0:t>
        </ns0:is>
      </ns0:c>
      <ns0:c r="B7" s="33" t="inlineStr">
        <ns0:is>
          <ns0:t>optimizer</ns0:t>
        </ns0:is>
      </ns0:c>
      <ns0:c r="C7" s="33" t="inlineStr">
        <ns0:is>
          <ns0:t>Adam lr sweep</ns0:t>
        </ns0:is>
      </ns0:c>
      <ns0:c r="D7" s="33" t="inlineStr">
        <ns0:is>
          <ns0:t>ce</ns0:t>
        </ns0:is>
      </ns0:c>
      <ns0:c r="E7" s="33" t="inlineStr">
        <ns0:is>
          <ns0:t>adam</ns0:t>
        </ns0:is>
      </ns0:c>
      <ns0:c r="F7" s="33" t="n">
        <ns0:v>0.001</ns0:v>
      </ns0:c>
      <ns0:c r="G7" s="33" t="n">
        <ns0:v>0</ns0:v>
      </ns0:c>
      <ns0:c r="H7" s="33" t="n">
        <ns0:v>512</ns0:v>
      </ns0:c>
      <ns0:c r="I7" s="33" t="n">
        <ns0:v>20</ns0:v>
      </ns0:c>
      <ns0:c r="J7" s="33" t="inlineStr">
        <ns0:is>
          <ns0:t>256-128</ns0:t>
        </ns0:is>
      </ns0:c>
      <ns0:c r="K7" s="33" t="n">
        <ns0:v>0</ns0:v>
      </ns0:c>
      <ns0:c r="L7" s="33" t="inlineStr">
        <ns0:is>
          <ns0:t>none</ns0:t>
        </ns0:is>
      </ns0:c>
      <ns0:c r="M7" s="33" t="inlineStr">
        <ns0:is>
          <ns0:t>fp32</ns0:t>
        </ns0:is>
      </ns0:c>
      <ns0:c r="N7" s="33" t="inlineStr">
        <ns0:is>
          <ns0:t>he</ns0:t>
        </ns0:is>
      </ns0:c>
      <ns0:c r="O7" s="33" t="n">
        <ns0:v>1</ns0:v>
      </ns0:c>
      <ns0:c r="P7" s="34" t="n">
        <ns0:v>2.26906156539917</ns0:v>
      </ns0:c>
      <ns0:c r="Q7" s="34" t="n">
        <ns0:v>0.2412499934434891</ns0:v>
      </ns0:c>
      <ns0:c r="R7" s="33" t="n">
        <ns0:v>20</ns0:v>
      </ns0:c>
      <ns0:c r="S7" s="34" t="n">
        <ns0:v>0.2204304188489914</ns0:v>
      </ns0:c>
      <ns0:c r="T7" s="34" t="n">
        <ns0:v>0.2412499934434891</ns0:v>
      </ns0:c>
      <ns0:c r="U7" s="34" t="n">
        <ns0:v>0.9029495923065338</ns0:v>
      </ns0:c>
      <ns0:c r="V7" s="34" t="n">
        <ns0:v>0.8461801342542264</ns0:v>
      </ns0:c>
      <ns0:c r="W7" s="33" t="n">
        <ns0:v>0.3799541489499802</ns0:v>
      </ns0:c>
      <ns0:c r="X7" s="33" t="n">
        <ns0:v>150.8310546875</ns0:v>
      </ns0:c>
      <ns0:c r="Y7" s="33" t="b">
        <ns0:v>0</ns0:v>
      </ns0:c>
      <ns0:c r="Z7" s="34" t="n"/>
      <ns0:c r="AA7" s="34" t="n"/>
      <ns0:c r="AB7" s="33" t="inlineStr">
        <ns0:is>
          <ns0:t>figures/opt-adam-lr0.001.png</ns0:t>
        </ns0:is>
      </ns0:c>
      <ns0:c r="AC7" s="33" t="inlineStr">
        <ns0:is>
          <ns0:t>Adam với moment bậc một/hai có thể hội tụ nhanh ở lr .001 hoặc .003. Mỗi optimizer
được thử ít nhất hai lr: SGD momentum ở Part 2, Adam ở đây. Vì lr tối ưu khác nhau,
các run Adam đổi cả optimizer và lr; không suy ra thắng tuyệt đối từ một lr chung.; Changes optimizer and its tuned lr; betas=(.9,.999), eps=1e-8, wd=0; memory=CUDA allocated peak; train loss: fixed 50000 probe, eval mode; delta vs base-s1=0.011255; 2sigma=0.003827; selected final=False</ns0:t>
        </ns0:is>
      </ns0:c>
      <ns0:c r="AD7" s="35">
        <ns0:f>IF(P7="","",P7-LN(7))</ns0:f>
        <ns0:v>0.3231514163438567</ns0:v>
      </ns0:c>
      <ns0:c r="AE7" s="35">
        <ns0:f>IF(OR(T7="",S7=""),"",T7-S7)</ns0:f>
        <ns0:v>0.02081957459449771</ns0:v>
      </ns0:c>
      <ns0:c r="AF7" s="35">
        <ns0:f>IF(OR(V7="",Seeds!$C$8=""),"",V7-Seeds!$C$8)</ns0:f>
        <ns0:v>0.011702937402172653</ns0:v>
      </ns0:c>
      <ns0:c r="AG7" s="35" t="str">
        <ns0:f>IF(OR(AF7="",Seeds!$C$10=""),"",IF(ABS(AF7)&gt;Seeds!$C$10,"Có","Không"))</ns0:f>
        <ns0:v>Có</ns0:v>
      </ns0:c>
    </ns0:row>
    <ns0:row r="8" ht="15" customHeight="1" s="20">
      <ns0:c r="A8" s="33" t="inlineStr">
        <ns0:is>
          <ns0:t>opt-adam-lr0.003</ns0:t>
        </ns0:is>
      </ns0:c>
      <ns0:c r="B8" s="33" t="inlineStr">
        <ns0:is>
          <ns0:t>optimizer</ns0:t>
        </ns0:is>
      </ns0:c>
      <ns0:c r="C8" s="33" t="inlineStr">
        <ns0:is>
          <ns0:t>Adam lr sweep</ns0:t>
        </ns0:is>
      </ns0:c>
      <ns0:c r="D8" s="33" t="inlineStr">
        <ns0:is>
          <ns0:t>ce</ns0:t>
        </ns0:is>
      </ns0:c>
      <ns0:c r="E8" s="33" t="inlineStr">
        <ns0:is>
          <ns0:t>adam</ns0:t>
        </ns0:is>
      </ns0:c>
      <ns0:c r="F8" s="33" t="n">
        <ns0:v>0.003</ns0:v>
      </ns0:c>
      <ns0:c r="G8" s="33" t="n">
        <ns0:v>0</ns0:v>
      </ns0:c>
      <ns0:c r="H8" s="33" t="n">
        <ns0:v>512</ns0:v>
      </ns0:c>
      <ns0:c r="I8" s="33" t="n">
        <ns0:v>20</ns0:v>
      </ns0:c>
      <ns0:c r="J8" s="33" t="inlineStr">
        <ns0:is>
          <ns0:t>256-128</ns0:t>
        </ns0:is>
      </ns0:c>
      <ns0:c r="K8" s="33" t="n">
        <ns0:v>0</ns0:v>
      </ns0:c>
      <ns0:c r="L8" s="33" t="inlineStr">
        <ns0:is>
          <ns0:t>none</ns0:t>
        </ns0:is>
      </ns0:c>
      <ns0:c r="M8" s="33" t="inlineStr">
        <ns0:is>
          <ns0:t>fp32</ns0:t>
        </ns0:is>
      </ns0:c>
      <ns0:c r="N8" s="33" t="inlineStr">
        <ns0:is>
          <ns0:t>he</ns0:t>
        </ns0:is>
      </ns0:c>
      <ns0:c r="O8" s="33" t="n">
        <ns0:v>1</ns0:v>
      </ns0:c>
      <ns0:c r="P8" s="34" t="n">
        <ns0:v>2.26906156539917</ns0:v>
      </ns0:c>
      <ns0:c r="Q8" s="34" t="n">
        <ns0:v>0.2129375338554382</ns0:v>
      </ns0:c>
      <ns0:c r="R8" s="33" t="n">
        <ns0:v>20</ns0:v>
      </ns0:c>
      <ns0:c r="S8" s="34" t="n">
        <ns0:v>0.1811341196298599</ns0:v>
      </ns0:c>
      <ns0:c r="T8" s="34" t="n">
        <ns0:v>0.2129375338554382</ns0:v>
      </ns0:c>
      <ns0:c r="U8" s="34" t="n">
        <ns0:v>0.9145457283621264</ns0:v>
      </ns0:c>
      <ns0:c r="V8" s="34" t="n">
        <ns0:v>0.8687706103378063</ns0:v>
      </ns0:c>
      <ns0:c r="W8" s="33" t="n">
        <ns0:v>0.3767417608499954</ns0:v>
      </ns0:c>
      <ns0:c r="X8" s="33" t="n">
        <ns0:v>150.8310546875</ns0:v>
      </ns0:c>
      <ns0:c r="Y8" s="33" t="b">
        <ns0:v>0</ns0:v>
      </ns0:c>
      <ns0:c r="Z8" s="34" t="n">
        <ns0:v>0.9130315052107089</ns0:v>
      </ns0:c>
      <ns0:c r="AA8" s="34" t="n">
        <ns0:v>0.8730238168081964</ns0:v>
      </ns0:c>
      <ns0:c r="AB8" s="33" t="inlineStr">
        <ns0:is>
          <ns0:t>figures/opt-adam-lr0.003.png</ns0:t>
        </ns0:is>
      </ns0:c>
      <ns0:c r="AC8" s="33" t="inlineStr">
        <ns0:is>
          <ns0:t>Adam với moment bậc một/hai có thể hội tụ nhanh ở lr .001 hoặc .003. Mỗi optimizer
được thử ít nhất hai lr: SGD momentum ở Part 2, Adam ở đây. Vì lr tối ưu khác nhau,
các run Adam đổi cả optimizer và lr; không suy ra thắng tuyệt đối từ một lr chung.; Changes optimizer and its tuned lr; betas=(.9,.999), eps=1e-8, wd=0; memory=CUDA allocated peak; train loss: fixed 50000 probe, eval mode; delta vs base-s1=0.033845; 2sigma=0.003827; selected final=True</ns0:t>
        </ns0:is>
      </ns0:c>
      <ns0:c r="AD8" s="35">
        <ns0:f>IF(P8="","",P8-LN(7))</ns0:f>
        <ns0:v>0.3231514163438567</ns0:v>
      </ns0:c>
      <ns0:c r="AE8" s="35">
        <ns0:f>IF(OR(T8="",S8=""),"",T8-S8)</ns0:f>
        <ns0:v>0.03180341422557831</ns0:v>
      </ns0:c>
      <ns0:c r="AF8" s="35">
        <ns0:f>IF(OR(V8="",Seeds!$C$8=""),"",V8-Seeds!$C$8)</ns0:f>
        <ns0:v>0.034293413485752544</ns0:v>
      </ns0:c>
      <ns0:c r="AG8" s="35" t="str">
        <ns0:f>IF(OR(AF8="",Seeds!$C$10=""),"",IF(ABS(AF8)&gt;Seeds!$C$10,"Có","Không"))</ns0:f>
        <ns0:v>Có</ns0:v>
      </ns0:c>
    </ns0:row>
    <ns0:row r="9" ht="15" customHeight="1" s="20">
      <ns0:c r="A9" s="33" t="inlineStr">
        <ns0:is>
          <ns0:t>batch-256</ns0:t>
        </ns0:is>
      </ns0:c>
      <ns0:c r="B9" s="33" t="inlineStr">
        <ns0:is>
          <ns0:t>hparam</ns0:t>
        </ns0:is>
      </ns0:c>
      <ns0:c r="C9" s="33" t="inlineStr">
        <ns0:is>
          <ns0:t>Half batch; fixed lr; more updates</ns0:t>
        </ns0:is>
      </ns0:c>
      <ns0:c r="D9" s="33" t="inlineStr">
        <ns0:is>
          <ns0:t>ce</ns0:t>
        </ns0:is>
      </ns0:c>
      <ns0:c r="E9" s="33" t="inlineStr">
        <ns0:is>
          <ns0:t>sgd_momentum</ns0:t>
        </ns0:is>
      </ns0:c>
      <ns0:c r="F9" s="33" t="n">
        <ns0:v>0.05</ns0:v>
      </ns0:c>
      <ns0:c r="G9" s="33" t="n">
        <ns0:v>0</ns0:v>
      </ns0:c>
      <ns0:c r="H9" s="33" t="n">
        <ns0:v>256</ns0:v>
      </ns0:c>
      <ns0:c r="I9" s="33" t="n">
        <ns0:v>20</ns0:v>
      </ns0:c>
      <ns0:c r="J9" s="33" t="inlineStr">
        <ns0:is>
          <ns0:t>256-128</ns0:t>
        </ns0:is>
      </ns0:c>
      <ns0:c r="K9" s="33" t="n">
        <ns0:v>0</ns0:v>
      </ns0:c>
      <ns0:c r="L9" s="33" t="inlineStr">
        <ns0:is>
          <ns0:t>none</ns0:t>
        </ns0:is>
      </ns0:c>
      <ns0:c r="M9" s="33" t="inlineStr">
        <ns0:is>
          <ns0:t>fp32</ns0:t>
        </ns0:is>
      </ns0:c>
      <ns0:c r="N9" s="33" t="inlineStr">
        <ns0:is>
          <ns0:t>he</ns0:t>
        </ns0:is>
      </ns0:c>
      <ns0:c r="O9" s="33" t="n">
        <ns0:v>1</ns0:v>
      </ns0:c>
      <ns0:c r="P9" s="34" t="n">
        <ns0:v>2.26906156539917</ns0:v>
      </ns0:c>
      <ns0:c r="Q9" s="34" t="n">
        <ns0:v>0.2251230776309967</ns0:v>
      </ns0:c>
      <ns0:c r="R9" s="33" t="n">
        <ns0:v>20</ns0:v>
      </ns0:c>
      <ns0:c r="S9" s="34" t="n">
        <ns0:v>0.2033549100160599</ns0:v>
      </ns0:c>
      <ns0:c r="T9" s="34" t="n">
        <ns0:v>0.2251230776309967</ns0:v>
      </ns0:c>
      <ns0:c r="U9" s="34" t="n">
        <ns0:v>0.910554850368968</ns0:v>
      </ns0:c>
      <ns0:c r="V9" s="34" t="n">
        <ns0:v>0.8611966329751957</ns0:v>
      </ns0:c>
      <ns0:c r="W9" s="33" t="n">
        <ns0:v>0.6478092503499852</ns0:v>
      </ns0:c>
      <ns0:c r="X9" s="33" t="n">
        <ns0:v>150.64794921875</ns0:v>
      </ns0:c>
      <ns0:c r="Y9" s="33" t="b">
        <ns0:v>0</ns0:v>
      </ns0:c>
      <ns0:c r="Z9" s="34" t="n"/>
      <ns0:c r="AA9" s="34" t="n"/>
      <ns0:c r="AB9" s="33" t="inlineStr">
        <ns0:is>
          <ns0:t>figures/batch-256.png</ns0:t>
        </ns0:is>
      </ns0:c>
      <ns0:c r="AC9" s="33" t="inlineStr">
        <ns0:is>
          <ns0:t>Batch 256 có 1 453 cập nhật/epoch thay cho 727. Dự đoán tăng số cập nhật giúp
học thêm chi tiết nhưng tốn thời gian và gradient nhiễu hơn; giữ nguyên lr để thử riêng batch.; lr selected using validation among .01 and .05; checkpoint by minimum val loss; memory=CUDA allocated peak; train loss: fixed 50000 probe, eval mode; delta vs base-s1=0.026271; 2sigma=0.003827; selected final=False</ns0:t>
        </ns0:is>
      </ns0:c>
      <ns0:c r="AD9" s="35">
        <ns0:f>IF(P9="","",P9-LN(7))</ns0:f>
        <ns0:v>0.3231514163438567</ns0:v>
      </ns0:c>
      <ns0:c r="AE9" s="35">
        <ns0:f>IF(OR(T9="",S9=""),"",T9-S9)</ns0:f>
        <ns0:v>0.0217681676149368</ns0:v>
      </ns0:c>
      <ns0:c r="AF9" s="35">
        <ns0:f>IF(OR(V9="",Seeds!$C$8=""),"",V9-Seeds!$C$8)</ns0:f>
        <ns0:v>0.02671943612314187</ns0:v>
      </ns0:c>
      <ns0:c r="AG9" s="35" t="str">
        <ns0:f>IF(OR(AF9="",Seeds!$C$10=""),"",IF(ABS(AF9)&gt;Seeds!$C$10,"Có","Không"))</ns0:f>
        <ns0:v>Có</ns0:v>
      </ns0:c>
    </ns0:row>
    <ns0:row r="10" ht="15" customHeight="1" s="20">
      <ns0:c r="A10" s="33" t="inlineStr">
        <ns0:is>
          <ns0:t>drop-01</ns0:t>
        </ns0:is>
      </ns0:c>
      <ns0:c r="B10" s="33" t="inlineStr">
        <ns0:is>
          <ns0:t>dropout</ns0:t>
        </ns0:is>
      </ns0:c>
      <ns0:c r="C10" s="33" t="inlineStr">
        <ns0:is>
          <ns0:t>Dropout p=.1 after hidden ReLU</ns0:t>
        </ns0:is>
      </ns0:c>
      <ns0:c r="D10" s="33" t="inlineStr">
        <ns0:is>
          <ns0:t>ce</ns0:t>
        </ns0:is>
      </ns0:c>
      <ns0:c r="E10" s="33" t="inlineStr">
        <ns0:is>
          <ns0:t>sgd_momentum</ns0:t>
        </ns0:is>
      </ns0:c>
      <ns0:c r="F10" s="33" t="n">
        <ns0:v>0.05</ns0:v>
      </ns0:c>
      <ns0:c r="G10" s="33" t="n">
        <ns0:v>0</ns0:v>
      </ns0:c>
      <ns0:c r="H10" s="33" t="n">
        <ns0:v>512</ns0:v>
      </ns0:c>
      <ns0:c r="I10" s="33" t="n">
        <ns0:v>20</ns0:v>
      </ns0:c>
      <ns0:c r="J10" s="33" t="inlineStr">
        <ns0:is>
          <ns0:t>256-128</ns0:t>
        </ns0:is>
      </ns0:c>
      <ns0:c r="K10" s="33" t="n">
        <ns0:v>0.1</ns0:v>
      </ns0:c>
      <ns0:c r="L10" s="33" t="inlineStr">
        <ns0:is>
          <ns0:t>none</ns0:t>
        </ns0:is>
      </ns0:c>
      <ns0:c r="M10" s="33" t="inlineStr">
        <ns0:is>
          <ns0:t>fp32</ns0:t>
        </ns0:is>
      </ns0:c>
      <ns0:c r="N10" s="33" t="inlineStr">
        <ns0:is>
          <ns0:t>he</ns0:t>
        </ns0:is>
      </ns0:c>
      <ns0:c r="O10" s="33" t="n">
        <ns0:v>1</ns0:v>
      </ns0:c>
      <ns0:c r="P10" s="34" t="n">
        <ns0:v>2.26906156539917</ns0:v>
      </ns0:c>
      <ns0:c r="Q10" s="34" t="n">
        <ns0:v>0.2722495794296265</ns0:v>
      </ns0:c>
      <ns0:c r="R10" s="33" t="n">
        <ns0:v>20</ns0:v>
      </ns0:c>
      <ns0:c r="S10" s="34" t="n">
        <ns0:v>0.2625844478607178</ns0:v>
      </ns0:c>
      <ns0:c r="T10" s="34" t="n">
        <ns0:v>0.2722495794296265</ns0:v>
      </ns0:c>
      <ns0:c r="U10" s="34" t="n">
        <ns0:v>0.8899550353908049</ns0:v>
      </ns0:c>
      <ns0:c r="V10" s="34" t="n">
        <ns0:v>0.8277729895823303</ns0:v>
      </ns0:c>
      <ns0:c r="W10" s="33" t="n">
        <ns0:v>0.3458969891500147</ns0:v>
      </ns0:c>
      <ns0:c r="X10" s="33" t="n">
        <ns0:v>150.64794921875</ns0:v>
      </ns0:c>
      <ns0:c r="Y10" s="33" t="b">
        <ns0:v>0</ns0:v>
      </ns0:c>
      <ns0:c r="Z10" s="34" t="n"/>
      <ns0:c r="AA10" s="34" t="n"/>
      <ns0:c r="AB10" s="33" t="inlineStr">
        <ns0:is>
          <ns0:t>figures/drop-01.png</ns0:t>
        </ns0:is>
      </ns0:c>
      <ns0:c r="AC10" s="33" t="inlineStr">
        <ns0:is>
          <ns0:t>q=.1 là regularization nhẹ. Nếu baseline chưa quá khớp, dropout có thể giảm khả năng học;
chỉ kết luận giúp khi val tốt hơn và cân nhắc 2σ. Train/val loss đều đo khi dropout tắt.; lr selected using validation among .01 and .05; checkpoint by minimum val loss; memory=CUDA allocated peak; train loss: fixed 50000 probe, eval mode; delta vs base-s1=-0.007153; 2sigma=0.003827; selected final=False</ns0:t>
        </ns0:is>
      </ns0:c>
      <ns0:c r="AD10" s="35">
        <ns0:f>IF(P10="","",P10-LN(7))</ns0:f>
        <ns0:v>0.3231514163438567</ns0:v>
      </ns0:c>
      <ns0:c r="AE10" s="35">
        <ns0:f>IF(OR(T10="",S10=""),"",T10-S10)</ns0:f>
        <ns0:v>0.009665131568908747</ns0:v>
      </ns0:c>
      <ns0:c r="AF10" s="35">
        <ns0:f>IF(OR(V10="",Seeds!$C$8=""),"",V10-Seeds!$C$8)</ns0:f>
        <ns0:v>-0.006704207269723539</ns0:v>
      </ns0:c>
      <ns0:c r="AG10" s="35" t="str">
        <ns0:f>IF(OR(AF10="",Seeds!$C$10=""),"",IF(ABS(AF10)&gt;Seeds!$C$10,"Có","Không"))</ns0:f>
        <ns0:v>Có</ns0:v>
      </ns0:c>
    </ns0:row>
    <ns0:row r="11" ht="15" customHeight="1" s="20">
      <ns0:c r="A11" s="33" t="inlineStr">
        <ns0:is>
          <ns0:t>clip-normal</ns0:t>
        </ns0:is>
      </ns0:c>
      <ns0:c r="B11" s="33" t="inlineStr">
        <ns0:is>
          <ns0:t>clipping</ns0:t>
        </ns0:is>
      </ns0:c>
      <ns0:c r="C11" s="33" t="inlineStr">
        <ns0:is>
          <ns0:t>Clip at baseline p75</ns0:t>
        </ns0:is>
      </ns0:c>
      <ns0:c r="D11" s="33" t="inlineStr">
        <ns0:is>
          <ns0:t>ce</ns0:t>
        </ns0:is>
      </ns0:c>
      <ns0:c r="E11" s="33" t="inlineStr">
        <ns0:is>
          <ns0:t>sgd_momentum</ns0:t>
        </ns0:is>
      </ns0:c>
      <ns0:c r="F11" s="33" t="n">
        <ns0:v>0.05</ns0:v>
      </ns0:c>
      <ns0:c r="G11" s="33" t="n">
        <ns0:v>0</ns0:v>
      </ns0:c>
      <ns0:c r="H11" s="33" t="n">
        <ns0:v>512</ns0:v>
      </ns0:c>
      <ns0:c r="I11" s="33" t="n">
        <ns0:v>20</ns0:v>
      </ns0:c>
      <ns0:c r="J11" s="33" t="inlineStr">
        <ns0:is>
          <ns0:t>256-128</ns0:t>
        </ns0:is>
      </ns0:c>
      <ns0:c r="K11" s="33" t="n">
        <ns0:v>0</ns0:v>
      </ns0:c>
      <ns0:c r="L11" s="33" t="n">
        <ns0:v>0.8710557669401169</ns0:v>
      </ns0:c>
      <ns0:c r="M11" s="33" t="inlineStr">
        <ns0:is>
          <ns0:t>fp32</ns0:t>
        </ns0:is>
      </ns0:c>
      <ns0:c r="N11" s="33" t="inlineStr">
        <ns0:is>
          <ns0:t>he</ns0:t>
        </ns0:is>
      </ns0:c>
      <ns0:c r="O11" s="33" t="n">
        <ns0:v>1</ns0:v>
      </ns0:c>
      <ns0:c r="P11" s="34" t="n">
        <ns0:v>2.26906156539917</ns0:v>
      </ns0:c>
      <ns0:c r="Q11" s="34" t="n">
        <ns0:v>0.2525352239608765</ns0:v>
      </ns0:c>
      <ns0:c r="R11" s="33" t="n">
        <ns0:v>20</ns0:v>
      </ns0:c>
      <ns0:c r="S11" s="34" t="n">
        <ns0:v>0.2318601459264755</ns0:v>
      </ns0:c>
      <ns0:c r="T11" s="34" t="n">
        <ns0:v>0.2525352239608765</ns0:v>
      </ns0:c>
      <ns0:c r="U11" s="34" t="n">
        <ns0:v>0.8977861922075687</ns0:v>
      </ns0:c>
      <ns0:c r="V11" s="34" t="n">
        <ns0:v>0.8324369582860225</ns0:v>
      </ns0:c>
      <ns0:c r="W11" s="33" t="n">
        <ns0:v>0.3268712346500138</ns0:v>
      </ns0:c>
      <ns0:c r="X11" s="33" t="n">
        <ns0:v>150.64794921875</ns0:v>
      </ns0:c>
      <ns0:c r="Y11" s="33" t="b">
        <ns0:v>0</ns0:v>
      </ns0:c>
      <ns0:c r="Z11" s="34" t="n"/>
      <ns0:c r="AA11" s="34" t="n"/>
      <ns0:c r="AB11" s="33" t="inlineStr">
        <ns0:is>
          <ns0:t>figures/clip-normal.png</ns0:t>
        </ns0:is>
      </ns0:c>
      <ns0:c r="AC11" s="33" t="inlineStr">
        <ns0:is>
          <ns0:t>Chọn c ở percentile 75 của gradient toàn cục baseline: dự kiến có clip trong một phần bước.
Tăng lr 10 lần rồi so có/không clip để xem clipping chặn gai gradient; clipping
không đảm bảo cứu được bước cập nhật quá lớn.; lr selected using validation among .01 and .05; checkpoint by minimum val loss; memory=CUDA allocated peak; train loss: fixed 50000 probe, eval mode; delta vs base-s1=-0.002489; 2sigma=0.003827; selected final=False</ns0:t>
        </ns0:is>
      </ns0:c>
      <ns0:c r="AD11" s="35">
        <ns0:f>IF(P11="","",P11-LN(7))</ns0:f>
        <ns0:v>0.3231514163438567</ns0:v>
      </ns0:c>
      <ns0:c r="AE11" s="35">
        <ns0:f>IF(OR(T11="",S11=""),"",T11-S11)</ns0:f>
        <ns0:v>0.020675078034401023</ns0:v>
      </ns0:c>
      <ns0:c r="AF11" s="35">
        <ns0:f>IF(OR(V11="",Seeds!$C$8=""),"",V11-Seeds!$C$8)</ns0:f>
        <ns0:v>-0.002040238566031305</ns0:v>
      </ns0:c>
      <ns0:c r="AG11" s="35" t="str">
        <ns0:f>IF(OR(AF11="",Seeds!$C$10=""),"",IF(ABS(AF11)&gt;Seeds!$C$10,"Có","Không"))</ns0:f>
        <ns0:v>Không</ns0:v>
      </ns0:c>
    </ns0:row>
    <ns0:row r="12" ht="15" customHeight="1" s="20">
      <ns0:c r="A12" s="33" t="inlineStr">
        <ns0:is>
          <ns0:t>highlr-no-clip</ns0:t>
        </ns0:is>
      </ns0:c>
      <ns0:c r="B12" s="33" t="inlineStr">
        <ns0:is>
          <ns0:t>clipping</ns0:t>
        </ns0:is>
      </ns0:c>
      <ns0:c r="C12" s="33" t="inlineStr">
        <ns0:is>
          <ns0:t>10x lr without clipping</ns0:t>
        </ns0:is>
      </ns0:c>
      <ns0:c r="D12" s="33" t="inlineStr">
        <ns0:is>
          <ns0:t>ce</ns0:t>
        </ns0:is>
      </ns0:c>
      <ns0:c r="E12" s="33" t="inlineStr">
        <ns0:is>
          <ns0:t>sgd_momentum</ns0:t>
        </ns0:is>
      </ns0:c>
      <ns0:c r="F12" s="33" t="n">
        <ns0:v>0.5</ns0:v>
      </ns0:c>
      <ns0:c r="G12" s="33" t="n">
        <ns0:v>0</ns0:v>
      </ns0:c>
      <ns0:c r="H12" s="33" t="n">
        <ns0:v>512</ns0:v>
      </ns0:c>
      <ns0:c r="I12" s="33" t="n">
        <ns0:v>20</ns0:v>
      </ns0:c>
      <ns0:c r="J12" s="33" t="inlineStr">
        <ns0:is>
          <ns0:t>256-128</ns0:t>
        </ns0:is>
      </ns0:c>
      <ns0:c r="K12" s="33" t="n">
        <ns0:v>0</ns0:v>
      </ns0:c>
      <ns0:c r="L12" s="33" t="inlineStr">
        <ns0:is>
          <ns0:t>none</ns0:t>
        </ns0:is>
      </ns0:c>
      <ns0:c r="M12" s="33" t="inlineStr">
        <ns0:is>
          <ns0:t>fp32</ns0:t>
        </ns0:is>
      </ns0:c>
      <ns0:c r="N12" s="33" t="inlineStr">
        <ns0:is>
          <ns0:t>he</ns0:t>
        </ns0:is>
      </ns0:c>
      <ns0:c r="O12" s="33" t="n">
        <ns0:v>1</ns0:v>
      </ns0:c>
      <ns0:c r="P12" s="34" t="n">
        <ns0:v>2.26906156539917</ns0:v>
      </ns0:c>
      <ns0:c r="Q12" s="34" t="n">
        <ns0:v>0.2550455927848816</ns0:v>
      </ns0:c>
      <ns0:c r="R12" s="33" t="n">
        <ns0:v>20</ns0:v>
      </ns0:c>
      <ns0:c r="S12" s="34" t="n">
        <ns0:v>0.2339690625667572</ns0:v>
      </ns0:c>
      <ns0:c r="T12" s="34" t="n">
        <ns0:v>0.2550455927848816</ns0:v>
      </ns0:c>
      <ns0:c r="U12" s="34" t="n">
        <ns0:v>0.899184613067705</ns0:v>
      </ns0:c>
      <ns0:c r="V12" s="34" t="n">
        <ns0:v>0.8385301836623721</ns0:v>
      </ns0:c>
      <ns0:c r="W12" s="33" t="n">
        <ns0:v>0.3256876155000327</ns0:v>
      </ns0:c>
      <ns0:c r="X12" s="33" t="n">
        <ns0:v>150.64794921875</ns0:v>
      </ns0:c>
      <ns0:c r="Y12" s="33" t="b">
        <ns0:v>0</ns0:v>
      </ns0:c>
      <ns0:c r="Z12" s="34" t="n"/>
      <ns0:c r="AA12" s="34" t="n"/>
      <ns0:c r="AB12" s="33" t="inlineStr">
        <ns0:is>
          <ns0:t>figures/highlr-no-clip.png</ns0:t>
        </ns0:is>
      </ns0:c>
      <ns0:c r="AC12" s="33" t="inlineStr">
        <ns0:is>
          <ns0:t>Chọn c ở percentile 75 của gradient toàn cục baseline: dự kiến có clip trong một phần bước.
Tăng lr 10 lần rồi so có/không clip để xem clipping chặn gai gradient; clipping
không đảm bảo cứu được bước cập nhật quá lớn.; High-lr control; only lr changes vs baseline; memory=CUDA allocated peak; train loss: fixed 50000 probe, eval mode; delta vs base-s1=0.003605; 2sigma=0.003827; selected final=False</ns0:t>
        </ns0:is>
      </ns0:c>
      <ns0:c r="AD12" s="35">
        <ns0:f>IF(P12="","",P12-LN(7))</ns0:f>
        <ns0:v>0.3231514163438567</ns0:v>
      </ns0:c>
      <ns0:c r="AE12" s="35">
        <ns0:f>IF(OR(T12="",S12=""),"",T12-S12)</ns0:f>
        <ns0:v>0.02107653021812439</ns0:v>
      </ns0:c>
      <ns0:c r="AF12" s="35">
        <ns0:f>IF(OR(V12="",Seeds!$C$8=""),"",V12-Seeds!$C$8)</ns0:f>
        <ns0:v>0.004052986810318293</ns0:v>
      </ns0:c>
      <ns0:c r="AG12" s="35" t="str">
        <ns0:f>IF(OR(AF12="",Seeds!$C$10=""),"",IF(ABS(AF12)&gt;Seeds!$C$10,"Có","Không"))</ns0:f>
        <ns0:v>Có</ns0:v>
      </ns0:c>
    </ns0:row>
    <ns0:row r="13" ht="15" customHeight="1" s="20">
      <ns0:c r="A13" s="33" t="inlineStr">
        <ns0:is>
          <ns0:t>highlr-clip</ns0:t>
        </ns0:is>
      </ns0:c>
      <ns0:c r="B13" s="33" t="inlineStr">
        <ns0:is>
          <ns0:t>clipping</ns0:t>
        </ns0:is>
      </ns0:c>
      <ns0:c r="C13" s="33" t="inlineStr">
        <ns0:is>
          <ns0:t>10x lr with clipping</ns0:t>
        </ns0:is>
      </ns0:c>
      <ns0:c r="D13" s="33" t="inlineStr">
        <ns0:is>
          <ns0:t>ce</ns0:t>
        </ns0:is>
      </ns0:c>
      <ns0:c r="E13" s="33" t="inlineStr">
        <ns0:is>
          <ns0:t>sgd_momentum</ns0:t>
        </ns0:is>
      </ns0:c>
      <ns0:c r="F13" s="33" t="n">
        <ns0:v>0.5</ns0:v>
      </ns0:c>
      <ns0:c r="G13" s="33" t="n">
        <ns0:v>0</ns0:v>
      </ns0:c>
      <ns0:c r="H13" s="33" t="n">
        <ns0:v>512</ns0:v>
      </ns0:c>
      <ns0:c r="I13" s="33" t="n">
        <ns0:v>20</ns0:v>
      </ns0:c>
      <ns0:c r="J13" s="33" t="inlineStr">
        <ns0:is>
          <ns0:t>256-128</ns0:t>
        </ns0:is>
      </ns0:c>
      <ns0:c r="K13" s="33" t="n">
        <ns0:v>0</ns0:v>
      </ns0:c>
      <ns0:c r="L13" s="33" t="n">
        <ns0:v>0.8710557669401169</ns0:v>
      </ns0:c>
      <ns0:c r="M13" s="33" t="inlineStr">
        <ns0:is>
          <ns0:t>fp32</ns0:t>
        </ns0:is>
      </ns0:c>
      <ns0:c r="N13" s="33" t="inlineStr">
        <ns0:is>
          <ns0:t>he</ns0:t>
        </ns0:is>
      </ns0:c>
      <ns0:c r="O13" s="33" t="n">
        <ns0:v>1</ns0:v>
      </ns0:c>
      <ns0:c r="P13" s="34" t="n">
        <ns0:v>2.26906156539917</ns0:v>
      </ns0:c>
      <ns0:c r="Q13" s="34" t="n">
        <ns0:v>0.2337030470371246</ns0:v>
      </ns0:c>
      <ns0:c r="R13" s="33" t="n">
        <ns0:v>16</ns0:v>
      </ns0:c>
      <ns0:c r="S13" s="34" t="n">
        <ns0:v>0.2211392521858215</ns0:v>
      </ns0:c>
      <ns0:c r="T13" s="34" t="n">
        <ns0:v>0.2388103306293488</ns0:v>
      </ns0:c>
      <ns0:c r="U13" s="34" t="n">
        <ns0:v>0.9095544415997935</ns0:v>
      </ns0:c>
      <ns0:c r="V13" s="34" t="n">
        <ns0:v>0.8552435976014819</ns0:v>
      </ns0:c>
      <ns0:c r="W13" s="33" t="n">
        <ns0:v>0.3177152369499368</ns0:v>
      </ns0:c>
      <ns0:c r="X13" s="33" t="n">
        <ns0:v>150.64794921875</ns0:v>
      </ns0:c>
      <ns0:c r="Y13" s="33" t="b">
        <ns0:v>0</ns0:v>
      </ns0:c>
      <ns0:c r="Z13" s="34" t="n"/>
      <ns0:c r="AA13" s="34" t="n"/>
      <ns0:c r="AB13" s="33" t="inlineStr">
        <ns0:is>
          <ns0:t>figures/highlr-clip.png</ns0:t>
        </ns0:is>
      </ns0:c>
      <ns0:c r="AC13" s="33" t="inlineStr">
        <ns0:is>
          <ns0:t>Chọn c ở percentile 75 của gradient toàn cục baseline: dự kiến có clip trong một phần bước.
Tăng lr 10 lần rồi so có/không clip để xem clipping chặn gai gradient; clipping
không đảm bảo cứu được bước cập nhật quá lớn.; Compared against highlr-no-clip; lr and clip change vs baseline; memory=CUDA allocated peak; train loss: fixed 50000 probe, eval mode; delta vs base-s1=0.020318; 2sigma=0.003827; selected final=False</ns0:t>
        </ns0:is>
      </ns0:c>
      <ns0:c r="AD13" s="35">
        <ns0:f>IF(P13="","",P13-LN(7))</ns0:f>
        <ns0:v>0.3231514163438567</ns0:v>
      </ns0:c>
      <ns0:c r="AE13" s="35">
        <ns0:f>IF(OR(T13="",S13=""),"",T13-S13)</ns0:f>
        <ns0:v>0.017671078443527305</ns0:v>
      </ns0:c>
      <ns0:c r="AF13" s="35">
        <ns0:f>IF(OR(V13="",Seeds!$C$8=""),"",V13-Seeds!$C$8)</ns0:f>
        <ns0:v>0.02076640074942815</ns0:v>
      </ns0:c>
      <ns0:c r="AG13" s="35" t="str">
        <ns0:f>IF(OR(AF13="",Seeds!$C$10=""),"",IF(ABS(AF13)&gt;Seeds!$C$10,"Có","Không"))</ns0:f>
        <ns0:v>Có</ns0:v>
      </ns0:c>
    </ns0:row>
    <ns0:row r="14" ht="15" customHeight="1" s="20">
      <ns0:c r="A14" s="33" t="inlineStr">
        <ns0:is>
          <ns0:t>amp-bf16</ns0:t>
        </ns0:is>
      </ns0:c>
      <ns0:c r="B14" s="33" t="inlineStr">
        <ns0:is>
          <ns0:t>amp</ns0:t>
        </ns0:is>
      </ns0:c>
      <ns0:c r="C14" s="33" t="inlineStr">
        <ns0:is>
          <ns0:t>BF16 autocast; FP32 parameters and validation</ns0:t>
        </ns0:is>
      </ns0:c>
      <ns0:c r="D14" s="33" t="inlineStr">
        <ns0:is>
          <ns0:t>ce</ns0:t>
        </ns0:is>
      </ns0:c>
      <ns0:c r="E14" s="33" t="inlineStr">
        <ns0:is>
          <ns0:t>sgd_momentum</ns0:t>
        </ns0:is>
      </ns0:c>
      <ns0:c r="F14" s="33" t="n">
        <ns0:v>0.05</ns0:v>
      </ns0:c>
      <ns0:c r="G14" s="33" t="n">
        <ns0:v>0</ns0:v>
      </ns0:c>
      <ns0:c r="H14" s="33" t="n">
        <ns0:v>512</ns0:v>
      </ns0:c>
      <ns0:c r="I14" s="33" t="n">
        <ns0:v>20</ns0:v>
      </ns0:c>
      <ns0:c r="J14" s="33" t="inlineStr">
        <ns0:is>
          <ns0:t>256-128</ns0:t>
        </ns0:is>
      </ns0:c>
      <ns0:c r="K14" s="33" t="n">
        <ns0:v>0</ns0:v>
      </ns0:c>
      <ns0:c r="L14" s="33" t="inlineStr">
        <ns0:is>
          <ns0:t>none</ns0:t>
        </ns0:is>
      </ns0:c>
      <ns0:c r="M14" s="33" t="inlineStr">
        <ns0:is>
          <ns0:t>bf16</ns0:t>
        </ns0:is>
      </ns0:c>
      <ns0:c r="N14" s="33" t="inlineStr">
        <ns0:is>
          <ns0:t>he</ns0:t>
        </ns0:is>
      </ns0:c>
      <ns0:c r="O14" s="33" t="n">
        <ns0:v>1</ns0:v>
      </ns0:c>
      <ns0:c r="P14" s="34" t="n">
        <ns0:v>2.26906156539917</ns0:v>
      </ns0:c>
      <ns0:c r="Q14" s="34" t="n">
        <ns0:v>0.2447663545608521</ns0:v>
      </ns0:c>
      <ns0:c r="R14" s="33" t="n">
        <ns0:v>20</ns0:v>
      </ns0:c>
      <ns0:c r="S14" s="34" t="n">
        <ns0:v>0.2236725389957428</ns0:v>
      </ns0:c>
      <ns0:c r="T14" s="34" t="n">
        <ns0:v>0.2447663545608521</ns0:v>
      </ns0:c>
      <ns0:c r="U14" s="34" t="n">
        <ns0:v>0.9020675114562939</ns0:v>
      </ns0:c>
      <ns0:c r="V14" s="34" t="n">
        <ns0:v>0.8440105696593053</ns0:v>
      </ns0:c>
      <ns0:c r="W14" s="33" t="n">
        <ns0:v>0.395365862750009</ns0:v>
      </ns0:c>
      <ns0:c r="X14" s="33" t="n">
        <ns0:v>150.64794921875</ns0:v>
      </ns0:c>
      <ns0:c r="Y14" s="33" t="b">
        <ns0:v>0</ns0:v>
      </ns0:c>
      <ns0:c r="Z14" s="34" t="n"/>
      <ns0:c r="AA14" s="34" t="n"/>
      <ns0:c r="AB14" s="33" t="inlineStr">
        <ns0:is>
          <ns0:t>figures/amp-bf16.png</ns0:t>
        </ns0:is>
      </ns0:c>
      <ns0:c r="AC14" s="33" t="inlineStr">
        <ns0:is>
          <ns0:t>AMP may accelerate GEMMs, but kernel, gradient and synchronization overhead can dominate this small MLP; measure full epoch including FP32 validation. FP16 is a supplemental diagnostic excluded from final selection.; CPU fallback if CUDA unavailable; RSS cumulative only on CPU; memory=CUDA allocated peak; train loss: fixed 50000 probe, eval mode; delta vs base-s1=0.009085; 2sigma=0.003827; selected final=False</ns0:t>
        </ns0:is>
      </ns0:c>
      <ns0:c r="AD14" s="35">
        <ns0:f>IF(P14="","",P14-LN(7))</ns0:f>
        <ns0:v>0.3231514163438567</ns0:v>
      </ns0:c>
      <ns0:c r="AE14" s="35">
        <ns0:f>IF(OR(T14="",S14=""),"",T14-S14)</ns0:f>
        <ns0:v>0.02109381556510931</ns0:v>
      </ns0:c>
      <ns0:c r="AF14" s="35">
        <ns0:f>IF(OR(V14="",Seeds!$C$8=""),"",V14-Seeds!$C$8)</ns0:f>
        <ns0:v>0.009533372807251528</ns0:v>
      </ns0:c>
      <ns0:c r="AG14" s="35" t="str">
        <ns0:f>IF(OR(AF14="",Seeds!$C$10=""),"",IF(ABS(AF14)&gt;Seeds!$C$10,"Có","Không"))</ns0:f>
        <ns0:v>Có</ns0:v>
      </ns0:c>
    </ns0:row>
    <ns0:row r="15" ht="15" customHeight="1" s="20">
      <ns0:c r="A15" s="33" t="inlineStr">
        <ns0:is>
          <ns0:t>amp-fp16</ns0:t>
        </ns0:is>
      </ns0:c>
      <ns0:c r="B15" s="33" t="inlineStr">
        <ns0:is>
          <ns0:t>amp</ns0:t>
        </ns0:is>
      </ns0:c>
      <ns0:c r="C15" s="33" t="inlineStr">
        <ns0:is>
          <ns0:t>FP16 autocast with GradScaler</ns0:t>
        </ns0:is>
      </ns0:c>
      <ns0:c r="D15" s="33" t="inlineStr">
        <ns0:is>
          <ns0:t>ce</ns0:t>
        </ns0:is>
      </ns0:c>
      <ns0:c r="E15" s="33" t="inlineStr">
        <ns0:is>
          <ns0:t>sgd_momentum</ns0:t>
        </ns0:is>
      </ns0:c>
      <ns0:c r="F15" s="33" t="n">
        <ns0:v>0.05</ns0:v>
      </ns0:c>
      <ns0:c r="G15" s="33" t="n">
        <ns0:v>0</ns0:v>
      </ns0:c>
      <ns0:c r="H15" s="33" t="n">
        <ns0:v>512</ns0:v>
      </ns0:c>
      <ns0:c r="I15" s="33" t="n">
        <ns0:v>20</ns0:v>
      </ns0:c>
      <ns0:c r="J15" s="33" t="inlineStr">
        <ns0:is>
          <ns0:t>256-128</ns0:t>
        </ns0:is>
      </ns0:c>
      <ns0:c r="K15" s="33" t="n">
        <ns0:v>0</ns0:v>
      </ns0:c>
      <ns0:c r="L15" s="33" t="inlineStr">
        <ns0:is>
          <ns0:t>none</ns0:t>
        </ns0:is>
      </ns0:c>
      <ns0:c r="M15" s="33" t="inlineStr">
        <ns0:is>
          <ns0:t>fp16</ns0:t>
        </ns0:is>
      </ns0:c>
      <ns0:c r="N15" s="33" t="inlineStr">
        <ns0:is>
          <ns0:t>he</ns0:t>
        </ns0:is>
      </ns0:c>
      <ns0:c r="O15" s="33" t="n">
        <ns0:v>1</ns0:v>
      </ns0:c>
      <ns0:c r="P15" s="34" t="n">
        <ns0:v>2.26906156539917</ns0:v>
      </ns0:c>
      <ns0:c r="Q15" s="34" t="n">
        <ns0:v>0.246356338262558</ns0:v>
      </ns0:c>
      <ns0:c r="R15" s="33" t="n">
        <ns0:v>20</ns0:v>
      </ns0:c>
      <ns0:c r="S15" s="34" t="n">
        <ns0:v>0.2270350754261017</ns0:v>
      </ns0:c>
      <ns0:c r="T15" s="34" t="n">
        <ns0:v>0.246356338262558</ns0:v>
      </ns0:c>
      <ns0:c r="U15" s="34" t="n">
        <ns0:v>0.9005400055936834</ns0:v>
      </ns0:c>
      <ns0:c r="V15" s="34" t="n">
        <ns0:v>0.8420372151229235</ns0:v>
      </ns0:c>
      <ns0:c r="W15" s="33" t="n">
        <ns0:v>0.4453411159000211</ns0:v>
      </ns0:c>
      <ns0:c r="X15" s="33" t="n">
        <ns0:v>150.64892578125</ns0:v>
      </ns0:c>
      <ns0:c r="Y15" s="33" t="b">
        <ns0:v>0</ns0:v>
      </ns0:c>
      <ns0:c r="Z15" s="34" t="n"/>
      <ns0:c r="AA15" s="34" t="n"/>
      <ns0:c r="AB15" s="33" t="inlineStr">
        <ns0:is>
          <ns0:t>figures/amp-fp16.png</ns0:t>
        </ns0:is>
      </ns0:c>
      <ns0:c r="AC15" s="33" t="inlineStr">
        <ns0:is>
          <ns0:t>AMP may accelerate GEMMs, but kernel, gradient and synchronization overhead can dominate this small MLP; measure full epoch including FP32 validation. FP16 is a supplemental diagnostic excluded from final selection.; Supplemental precision diagnostic; excluded from final selection; memory=CUDA allocated peak; train loss: fixed 50000 probe, eval mode; delta vs base-s1=0.007112; 2sigma=0.003827; selected final=False</ns0:t>
        </ns0:is>
      </ns0:c>
      <ns0:c r="AD15" s="35">
        <ns0:f>IF(P15="","",P15-LN(7))</ns0:f>
        <ns0:v>0.3231514163438567</ns0:v>
      </ns0:c>
      <ns0:c r="AE15" s="35">
        <ns0:f>IF(OR(T15="",S15=""),"",T15-S15)</ns0:f>
        <ns0:v>0.0193212628364563</ns0:v>
      </ns0:c>
      <ns0:c r="AF15" s="35">
        <ns0:f>IF(OR(V15="",Seeds!$C$8=""),"",V15-Seeds!$C$8)</ns0:f>
        <ns0:v>0.007560018270869717</ns0:v>
      </ns0:c>
      <ns0:c r="AG15" s="35" t="str">
        <ns0:f>IF(OR(AF15="",Seeds!$C$10=""),"",IF(ABS(AF15)&gt;Seeds!$C$10,"Có","Không"))</ns0:f>
        <ns0:v>Có</ns0:v>
      </ns0:c>
    </ns0:row>
    <ns0:row r="16" ht="15" customHeight="1" s="20">
      <ns0:c r="A16" s="33" t="inlineStr">
        <ns0:is>
          <ns0:t>init-zeros</ns0:t>
        </ns0:is>
      </ns0:c>
      <ns0:c r="B16" s="33" t="inlineStr">
        <ns0:is>
          <ns0:t>init</ns0:t>
        </ns0:is>
      </ns0:c>
      <ns0:c r="C16" s="33" t="inlineStr">
        <ns0:is>
          <ns0:t>Initialization zeros</ns0:t>
        </ns0:is>
      </ns0:c>
      <ns0:c r="D16" s="33" t="inlineStr">
        <ns0:is>
          <ns0:t>ce</ns0:t>
        </ns0:is>
      </ns0:c>
      <ns0:c r="E16" s="33" t="inlineStr">
        <ns0:is>
          <ns0:t>sgd_momentum</ns0:t>
        </ns0:is>
      </ns0:c>
      <ns0:c r="F16" s="33" t="n">
        <ns0:v>0.05</ns0:v>
      </ns0:c>
      <ns0:c r="G16" s="33" t="n">
        <ns0:v>0</ns0:v>
      </ns0:c>
      <ns0:c r="H16" s="33" t="n">
        <ns0:v>512</ns0:v>
      </ns0:c>
      <ns0:c r="I16" s="33" t="n">
        <ns0:v>20</ns0:v>
      </ns0:c>
      <ns0:c r="J16" s="33" t="inlineStr">
        <ns0:is>
          <ns0:t>256-128</ns0:t>
        </ns0:is>
      </ns0:c>
      <ns0:c r="K16" s="33" t="n">
        <ns0:v>0</ns0:v>
      </ns0:c>
      <ns0:c r="L16" s="33" t="inlineStr">
        <ns0:is>
          <ns0:t>none</ns0:t>
        </ns0:is>
      </ns0:c>
      <ns0:c r="M16" s="33" t="inlineStr">
        <ns0:is>
          <ns0:t>fp32</ns0:t>
        </ns0:is>
      </ns0:c>
      <ns0:c r="N16" s="33" t="inlineStr">
        <ns0:is>
          <ns0:t>zeros</ns0:t>
        </ns0:is>
      </ns0:c>
      <ns0:c r="O16" s="33" t="n">
        <ns0:v>1</ns0:v>
      </ns0:c>
      <ns0:c r="P16" s="34" t="n">
        <ns0:v>1.94590961933136</ns0:v>
      </ns0:c>
      <ns0:c r="Q16" s="34" t="n">
        <ns0:v>1.205182552337646</ns0:v>
      </ns0:c>
      <ns0:c r="R16" s="33" t="n">
        <ns0:v>15</ns0:v>
      </ns0:c>
      <ns0:c r="S16" s="34" t="n">
        <ns0:v>1.209773182868958</ns0:v>
      </ns0:c>
      <ns0:c r="T16" s="34" t="n">
        <ns0:v>1.20524787902832</ns0:v>
      </ns0:c>
      <ns0:c r="U16" s="34" t="n">
        <ns0:v>0.4875970826789441</ns0:v>
      </ns0:c>
      <ns0:c r="V16" s="34" t="n">
        <ns0:v>0.09364999018625456</ns0:v>
      </ns0:c>
      <ns0:c r="W16" s="33" t="n">
        <ns0:v>0.3211689349000153</ns0:v>
      </ns0:c>
      <ns0:c r="X16" s="33" t="n">
        <ns0:v>150.64794921875</ns0:v>
      </ns0:c>
      <ns0:c r="Y16" s="33" t="b">
        <ns0:v>0</ns0:v>
      </ns0:c>
      <ns0:c r="Z16" s="34" t="n"/>
      <ns0:c r="AA16" s="34" t="n"/>
      <ns0:c r="AB16" s="33" t="inlineStr">
        <ns0:is>
          <ns0:t>figures/init-zeros.png</ns0:t>
        </ns0:is>
      </ns0:c>
      <ns0:c r="AC16" s="33" t="inlineStr">
        <ns0:is>
          <ns0:t>Zeros làm các neuron đối xứng; ReLU(0) có đạo hàm 0 nên lớp ẩn không học,
chỉ bias đầu ra học tần suất lớp. Normal std=.01 có kích hoạt nhỏ, có thể học chậm.
Xavier dùng variance 2/(fan_in+fan_out), He dùng 2/fan_in cho mọi Linear.
Ghi std sau từng Linear trước cập nhật để kiểm tra độ lớn tín hiệu.; lr selected using validation among .01 and .05; checkpoint by minimum val loss; memory=CUDA allocated peak; train loss: fixed 50000 probe, eval mode; delta vs base-s1=-0.741276; 2sigma=0.003827; selected final=False</ns0:t>
        </ns0:is>
      </ns0:c>
      <ns0:c r="AD16" s="35">
        <ns0:f>IF(P16="","",P16-LN(7))</ns0:f>
        <ns0:v>-5.297239531465436e-07</ns0:v>
      </ns0:c>
      <ns0:c r="AE16" s="35">
        <ns0:f>IF(OR(T16="",S16=""),"",T16-S16)</ns0:f>
        <ns0:v>-0.004525303840637873</ns0:v>
      </ns0:c>
      <ns0:c r="AF16" s="35">
        <ns0:f>IF(OR(V16="",Seeds!$C$8=""),"",V16-Seeds!$C$8)</ns0:f>
        <ns0:v>-0.7408272066657993</ns0:v>
      </ns0:c>
      <ns0:c r="AG16" s="35" t="str">
        <ns0:f>IF(OR(AF16="",Seeds!$C$10=""),"",IF(ABS(AF16)&gt;Seeds!$C$10,"Có","Không"))</ns0:f>
        <ns0:v>Có</ns0:v>
      </ns0:c>
    </ns0:row>
    <ns0:row r="17" ht="15" customHeight="1" s="20">
      <ns0:c r="A17" s="33" t="inlineStr">
        <ns0:is>
          <ns0:t>init-normal</ns0:t>
        </ns0:is>
      </ns0:c>
      <ns0:c r="B17" s="33" t="inlineStr">
        <ns0:is>
          <ns0:t>init</ns0:t>
        </ns0:is>
      </ns0:c>
      <ns0:c r="C17" s="33" t="inlineStr">
        <ns0:is>
          <ns0:t>Initialization normal</ns0:t>
        </ns0:is>
      </ns0:c>
      <ns0:c r="D17" s="33" t="inlineStr">
        <ns0:is>
          <ns0:t>ce</ns0:t>
        </ns0:is>
      </ns0:c>
      <ns0:c r="E17" s="33" t="inlineStr">
        <ns0:is>
          <ns0:t>sgd_momentum</ns0:t>
        </ns0:is>
      </ns0:c>
      <ns0:c r="F17" s="33" t="n">
        <ns0:v>0.05</ns0:v>
      </ns0:c>
      <ns0:c r="G17" s="33" t="n">
        <ns0:v>0</ns0:v>
      </ns0:c>
      <ns0:c r="H17" s="33" t="n">
        <ns0:v>512</ns0:v>
      </ns0:c>
      <ns0:c r="I17" s="33" t="n">
        <ns0:v>20</ns0:v>
      </ns0:c>
      <ns0:c r="J17" s="33" t="inlineStr">
        <ns0:is>
          <ns0:t>256-128</ns0:t>
        </ns0:is>
      </ns0:c>
      <ns0:c r="K17" s="33" t="n">
        <ns0:v>0</ns0:v>
      </ns0:c>
      <ns0:c r="L17" s="33" t="inlineStr">
        <ns0:is>
          <ns0:t>none</ns0:t>
        </ns0:is>
      </ns0:c>
      <ns0:c r="M17" s="33" t="inlineStr">
        <ns0:is>
          <ns0:t>fp32</ns0:t>
        </ns0:is>
      </ns0:c>
      <ns0:c r="N17" s="33" t="inlineStr">
        <ns0:is>
          <ns0:t>normal</ns0:t>
        </ns0:is>
      </ns0:c>
      <ns0:c r="O17" s="33" t="n">
        <ns0:v>1</ns0:v>
      </ns0:c>
      <ns0:c r="P17" s="34" t="n">
        <ns0:v>1.945995688438416</ns0:v>
      </ns0:c>
      <ns0:c r="Q17" s="34" t="n">
        <ns0:v>0.2681543231010437</ns0:v>
      </ns0:c>
      <ns0:c r="R17" s="33" t="n">
        <ns0:v>20</ns0:v>
      </ns0:c>
      <ns0:c r="S17" s="34" t="n">
        <ns0:v>0.2562992572784424</ns0:v>
      </ns0:c>
      <ns0:c r="T17" s="34" t="n">
        <ns0:v>0.2681543231010437</ns0:v>
      </ns0:c>
      <ns0:c r="U17" s="34" t="n">
        <ns0:v>0.8907510595727286</ns0:v>
      </ns0:c>
      <ns0:c r="V17" s="34" t="n">
        <ns0:v>0.8247134542970818</ns0:v>
      </ns0:c>
      <ns0:c r="W17" s="33" t="n">
        <ns0:v>0.3224641460500038</ns0:v>
      </ns0:c>
      <ns0:c r="X17" s="33" t="n">
        <ns0:v>150.64794921875</ns0:v>
      </ns0:c>
      <ns0:c r="Y17" s="33" t="b">
        <ns0:v>0</ns0:v>
      </ns0:c>
      <ns0:c r="Z17" s="34" t="n"/>
      <ns0:c r="AA17" s="34" t="n"/>
      <ns0:c r="AB17" s="33" t="inlineStr">
        <ns0:is>
          <ns0:t>figures/init-normal.png</ns0:t>
        </ns0:is>
      </ns0:c>
      <ns0:c r="AC17" s="33" t="inlineStr">
        <ns0:is>
          <ns0:t>Zeros làm các neuron đối xứng; ReLU(0) có đạo hàm 0 nên lớp ẩn không học,
chỉ bias đầu ra học tần suất lớp. Normal std=.01 có kích hoạt nhỏ, có thể học chậm.
Xavier dùng variance 2/(fan_in+fan_out), He dùng 2/fan_in cho mọi Linear.
Ghi std sau từng Linear trước cập nhật để kiểm tra độ lớn tín hiệu.; lr selected using validation among .01 and .05; checkpoint by minimum val loss; memory=CUDA allocated peak; train loss: fixed 50000 probe, eval mode; delta vs base-s1=-0.010212; 2sigma=0.003827; selected final=False</ns0:t>
        </ns0:is>
      </ns0:c>
      <ns0:c r="AD17" s="35">
        <ns0:f>IF(P17="","",P17-LN(7))</ns0:f>
        <ns0:v>8.553938310273956e-05</ns0:v>
      </ns0:c>
      <ns0:c r="AE17" s="35">
        <ns0:f>IF(OR(T17="",S17=""),"",T17-S17)</ns0:f>
        <ns0:v>0.011855065822601318</ns0:v>
      </ns0:c>
      <ns0:c r="AF17" s="35">
        <ns0:f>IF(OR(V17="",Seeds!$C$8=""),"",V17-Seeds!$C$8)</ns0:f>
        <ns0:v>-0.009763742554972032</ns0:v>
      </ns0:c>
      <ns0:c r="AG17" s="35" t="str">
        <ns0:f>IF(OR(AF17="",Seeds!$C$10=""),"",IF(ABS(AF17)&gt;Seeds!$C$10,"Có","Không"))</ns0:f>
        <ns0:v>Có</ns0:v>
      </ns0:c>
    </ns0:row>
    <ns0:row r="18" ht="15" customHeight="1" s="20">
      <ns0:c r="A18" s="33" t="inlineStr">
        <ns0:is>
          <ns0:t>init-xavier</ns0:t>
        </ns0:is>
      </ns0:c>
      <ns0:c r="B18" s="33" t="inlineStr">
        <ns0:is>
          <ns0:t>init</ns0:t>
        </ns0:is>
      </ns0:c>
      <ns0:c r="C18" s="33" t="inlineStr">
        <ns0:is>
          <ns0:t>Initialization xavier</ns0:t>
        </ns0:is>
      </ns0:c>
      <ns0:c r="D18" s="33" t="inlineStr">
        <ns0:is>
          <ns0:t>ce</ns0:t>
        </ns0:is>
      </ns0:c>
      <ns0:c r="E18" s="33" t="inlineStr">
        <ns0:is>
          <ns0:t>sgd_momentum</ns0:t>
        </ns0:is>
      </ns0:c>
      <ns0:c r="F18" s="33" t="n">
        <ns0:v>0.05</ns0:v>
      </ns0:c>
      <ns0:c r="G18" s="33" t="n">
        <ns0:v>0</ns0:v>
      </ns0:c>
      <ns0:c r="H18" s="33" t="n">
        <ns0:v>512</ns0:v>
      </ns0:c>
      <ns0:c r="I18" s="33" t="n">
        <ns0:v>20</ns0:v>
      </ns0:c>
      <ns0:c r="J18" s="33" t="inlineStr">
        <ns0:is>
          <ns0:t>256-128</ns0:t>
        </ns0:is>
      </ns0:c>
      <ns0:c r="K18" s="33" t="n">
        <ns0:v>0</ns0:v>
      </ns0:c>
      <ns0:c r="L18" s="33" t="inlineStr">
        <ns0:is>
          <ns0:t>none</ns0:t>
        </ns0:is>
      </ns0:c>
      <ns0:c r="M18" s="33" t="inlineStr">
        <ns0:is>
          <ns0:t>fp32</ns0:t>
        </ns0:is>
      </ns0:c>
      <ns0:c r="N18" s="33" t="inlineStr">
        <ns0:is>
          <ns0:t>xavier</ns0:t>
        </ns0:is>
      </ns0:c>
      <ns0:c r="O18" s="33" t="n">
        <ns0:v>1</ns0:v>
      </ns0:c>
      <ns0:c r="P18" s="34" t="n">
        <ns0:v>2.022176265716553</ns0:v>
      </ns0:c>
      <ns0:c r="Q18" s="34" t="n">
        <ns0:v>0.257274866104126</ns0:v>
      </ns0:c>
      <ns0:c r="R18" s="33" t="n">
        <ns0:v>18</ns0:v>
      </ns0:c>
      <ns0:c r="S18" s="34" t="n">
        <ns0:v>0.2519457340240479</ns0:v>
      </ns0:c>
      <ns0:c r="T18" s="34" t="n">
        <ns0:v>0.2679997384548187</ns0:v>
      </ns0:c>
      <ns0:c r="U18" s="34" t="n">
        <ns0:v>0.8963232288461952</ns0:v>
      </ns0:c>
      <ns0:c r="V18" s="34" t="n">
        <ns0:v>0.8283016082243229</ns0:v>
      </ns0:c>
      <ns0:c r="W18" s="33" t="n">
        <ns0:v>0.323144621799986</ns0:v>
      </ns0:c>
      <ns0:c r="X18" s="33" t="n">
        <ns0:v>150.64794921875</ns0:v>
      </ns0:c>
      <ns0:c r="Y18" s="33" t="b">
        <ns0:v>0</ns0:v>
      </ns0:c>
      <ns0:c r="Z18" s="34" t="n"/>
      <ns0:c r="AA18" s="34" t="n"/>
      <ns0:c r="AB18" s="33" t="inlineStr">
        <ns0:is>
          <ns0:t>figures/init-xavier.png</ns0:t>
        </ns0:is>
      </ns0:c>
      <ns0:c r="AC18" s="33" t="inlineStr">
        <ns0:is>
          <ns0:t>Zeros làm các neuron đối xứng; ReLU(0) có đạo hàm 0 nên lớp ẩn không học,
chỉ bias đầu ra học tần suất lớp. Normal std=.01 có kích hoạt nhỏ, có thể học chậm.
Xavier dùng variance 2/(fan_in+fan_out), He dùng 2/fan_in cho mọi Linear.
Ghi std sau từng Linear trước cập nhật để kiểm tra độ lớn tín hiệu.; lr selected using validation among .01 and .05; checkpoint by minimum val loss; memory=CUDA allocated peak; train loss: fixed 50000 probe, eval mode; delta vs base-s1=-0.006624; 2sigma=0.003827; selected final=False</ns0:t>
        </ns0:is>
      </ns0:c>
      <ns0:c r="AD18" s="35">
        <ns0:f>IF(P18="","",P18-LN(7))</ns0:f>
        <ns0:v>0.07626611666123995</ns0:v>
      </ns0:c>
      <ns0:c r="AE18" s="35">
        <ns0:f>IF(OR(T18="",S18=""),"",T18-S18)</ns0:f>
        <ns0:v>0.01605400443077082</ns0:v>
      </ns0:c>
      <ns0:c r="AF18" s="35">
        <ns0:f>IF(OR(V18="",Seeds!$C$8=""),"",V18-Seeds!$C$8)</ns0:f>
        <ns0:v>-0.006175588627730932</ns0:v>
      </ns0:c>
      <ns0:c r="AG18" s="35" t="str">
        <ns0:f>IF(OR(AF18="",Seeds!$C$10=""),"",IF(ABS(AF18)&gt;Seeds!$C$10,"Có","Không"))</ns0:f>
        <ns0:v>Có</ns0:v>
      </ns0:c>
    </ns0:row>
    <ns0:row r="19" ht="15" customHeight="1" s="20">
      <ns0:c r="A19" s="33" t="n"/>
      <ns0:c r="B19" s="33" t="n"/>
      <ns0:c r="C19" s="33" t="n"/>
      <ns0:c r="D19" s="33" t="n"/>
      <ns0:c r="E19" s="33" t="n"/>
      <ns0:c r="F19" s="33" t="n"/>
      <ns0:c r="G19" s="33" t="n"/>
      <ns0:c r="H19" s="33" t="n"/>
      <ns0:c r="I19" s="33" t="n"/>
      <ns0:c r="J19" s="33" t="n"/>
      <ns0:c r="K19" s="33" t="n"/>
      <ns0:c r="L19" s="33" t="n"/>
      <ns0:c r="M19" s="33" t="n"/>
      <ns0:c r="N19" s="33" t="n"/>
      <ns0:c r="O19" s="33" t="n"/>
      <ns0:c r="P19" s="34" t="n"/>
      <ns0:c r="Q19" s="34" t="n"/>
      <ns0:c r="R19" s="33" t="n"/>
      <ns0:c r="S19" s="34" t="n"/>
      <ns0:c r="T19" s="34" t="n"/>
      <ns0:c r="U19" s="34" t="n"/>
      <ns0:c r="V19" s="34" t="n"/>
      <ns0:c r="W19" s="33" t="n"/>
      <ns0:c r="X19" s="33" t="n"/>
      <ns0:c r="Y19" s="33" t="n"/>
      <ns0:c r="Z19" s="34" t="n"/>
      <ns0:c r="AA19" s="34" t="n"/>
      <ns0:c r="AB19" s="33" t="n"/>
      <ns0:c r="AC19" s="33" t="n"/>
      <ns0:c r="AD19" s="35" t="str">
        <ns0:f>IF(P19="","",P19-LN(7))</ns0:f>
        <ns0:v/>
      </ns0:c>
      <ns0:c r="AE19" s="35" t="str">
        <ns0:f>IF(OR(T19="",S19=""),"",T19-S19)</ns0:f>
        <ns0:v/>
      </ns0:c>
      <ns0:c r="AF19" s="35" t="str">
        <ns0:f>IF(OR(V19="",Seeds!$C$8=""),"",V19-Seeds!$C$8)</ns0:f>
        <ns0:v/>
      </ns0:c>
      <ns0:c r="AG19" s="35" t="str">
        <ns0:f>IF(OR(AF19="",Seeds!$C$10=""),"",IF(ABS(AF19)&gt;Seeds!$C$10,"Có","Không"))</ns0:f>
        <ns0:v/>
      </ns0:c>
    </ns0:row>
    <ns0:row r="20" ht="15" customHeight="1" s="20">
      <ns0:c r="A20" s="33" t="n"/>
      <ns0:c r="B20" s="33" t="n"/>
      <ns0:c r="C20" s="33" t="n"/>
      <ns0:c r="D20" s="33" t="n"/>
      <ns0:c r="E20" s="33" t="n"/>
      <ns0:c r="F20" s="33" t="n"/>
      <ns0:c r="G20" s="33" t="n"/>
      <ns0:c r="H20" s="33" t="n"/>
      <ns0:c r="I20" s="33" t="n"/>
      <ns0:c r="J20" s="33" t="n"/>
      <ns0:c r="K20" s="33" t="n"/>
      <ns0:c r="L20" s="33" t="n"/>
      <ns0:c r="M20" s="33" t="n"/>
      <ns0:c r="N20" s="33" t="n"/>
      <ns0:c r="O20" s="33" t="n"/>
      <ns0:c r="P20" s="34" t="n"/>
      <ns0:c r="Q20" s="34" t="n"/>
      <ns0:c r="R20" s="33" t="n"/>
      <ns0:c r="S20" s="34" t="n"/>
      <ns0:c r="T20" s="34" t="n"/>
      <ns0:c r="U20" s="34" t="n"/>
      <ns0:c r="V20" s="34" t="n"/>
      <ns0:c r="W20" s="33" t="n"/>
      <ns0:c r="X20" s="33" t="n"/>
      <ns0:c r="Y20" s="33" t="n"/>
      <ns0:c r="Z20" s="34" t="n"/>
      <ns0:c r="AA20" s="34" t="n"/>
      <ns0:c r="AB20" s="33" t="n"/>
      <ns0:c r="AC20" s="33" t="n"/>
      <ns0:c r="AD20" s="35" t="str">
        <ns0:f>IF(P20="","",P20-LN(7))</ns0:f>
        <ns0:v/>
      </ns0:c>
      <ns0:c r="AE20" s="35" t="str">
        <ns0:f>IF(OR(T20="",S20=""),"",T20-S20)</ns0:f>
        <ns0:v/>
      </ns0:c>
      <ns0:c r="AF20" s="35" t="str">
        <ns0:f>IF(OR(V20="",Seeds!$C$8=""),"",V20-Seeds!$C$8)</ns0:f>
        <ns0:v/>
      </ns0:c>
      <ns0:c r="AG20" s="35" t="str">
        <ns0:f>IF(OR(AF20="",Seeds!$C$10=""),"",IF(ABS(AF20)&gt;Seeds!$C$10,"Có","Không"))</ns0:f>
        <ns0:v/>
      </ns0:c>
    </ns0:row>
    <ns0:row r="21" ht="15" customHeight="1" s="20">
      <ns0:c r="A21" s="33" t="n"/>
      <ns0:c r="B21" s="33" t="n"/>
      <ns0:c r="C21" s="33" t="n"/>
      <ns0:c r="D21" s="33" t="n"/>
      <ns0:c r="E21" s="33" t="n"/>
      <ns0:c r="F21" s="33" t="n"/>
      <ns0:c r="G21" s="33" t="n"/>
      <ns0:c r="H21" s="33" t="n"/>
      <ns0:c r="I21" s="33" t="n"/>
      <ns0:c r="J21" s="33" t="n"/>
      <ns0:c r="K21" s="33" t="n"/>
      <ns0:c r="L21" s="33" t="n"/>
      <ns0:c r="M21" s="33" t="n"/>
      <ns0:c r="N21" s="33" t="n"/>
      <ns0:c r="O21" s="33" t="n"/>
      <ns0:c r="P21" s="34" t="n"/>
      <ns0:c r="Q21" s="34" t="n"/>
      <ns0:c r="R21" s="33" t="n"/>
      <ns0:c r="S21" s="34" t="n"/>
      <ns0:c r="T21" s="34" t="n"/>
      <ns0:c r="U21" s="34" t="n"/>
      <ns0:c r="V21" s="34" t="n"/>
      <ns0:c r="W21" s="33" t="n"/>
      <ns0:c r="X21" s="33" t="n"/>
      <ns0:c r="Y21" s="33" t="n"/>
      <ns0:c r="Z21" s="34" t="n"/>
      <ns0:c r="AA21" s="34" t="n"/>
      <ns0:c r="AB21" s="33" t="n"/>
      <ns0:c r="AC21" s="33" t="n"/>
      <ns0:c r="AD21" s="35" t="str">
        <ns0:f>IF(P21="","",P21-LN(7))</ns0:f>
        <ns0:v/>
      </ns0:c>
      <ns0:c r="AE21" s="35" t="str">
        <ns0:f>IF(OR(T21="",S21=""),"",T21-S21)</ns0:f>
        <ns0:v/>
      </ns0:c>
      <ns0:c r="AF21" s="35" t="str">
        <ns0:f>IF(OR(V21="",Seeds!$C$8=""),"",V21-Seeds!$C$8)</ns0:f>
        <ns0:v/>
      </ns0:c>
      <ns0:c r="AG21" s="35" t="str">
        <ns0:f>IF(OR(AF21="",Seeds!$C$10=""),"",IF(ABS(AF21)&gt;Seeds!$C$10,"Có","Không"))</ns0:f>
        <ns0:v/>
      </ns0:c>
    </ns0:row>
    <ns0:row r="22" ht="15" customHeight="1" s="20">
      <ns0:c r="A22" s="33" t="n"/>
      <ns0:c r="B22" s="33" t="n"/>
      <ns0:c r="C22" s="33" t="n"/>
      <ns0:c r="D22" s="33" t="n"/>
      <ns0:c r="E22" s="33" t="n"/>
      <ns0:c r="F22" s="33" t="n"/>
      <ns0:c r="G22" s="33" t="n"/>
      <ns0:c r="H22" s="33" t="n"/>
      <ns0:c r="I22" s="33" t="n"/>
      <ns0:c r="J22" s="33" t="n"/>
      <ns0:c r="K22" s="33" t="n"/>
      <ns0:c r="L22" s="33" t="n"/>
      <ns0:c r="M22" s="33" t="n"/>
      <ns0:c r="N22" s="33" t="n"/>
      <ns0:c r="O22" s="33" t="n"/>
      <ns0:c r="P22" s="34" t="n"/>
      <ns0:c r="Q22" s="34" t="n"/>
      <ns0:c r="R22" s="33" t="n"/>
      <ns0:c r="S22" s="34" t="n"/>
      <ns0:c r="T22" s="34" t="n"/>
      <ns0:c r="U22" s="34" t="n"/>
      <ns0:c r="V22" s="34" t="n"/>
      <ns0:c r="W22" s="33" t="n"/>
      <ns0:c r="X22" s="33" t="n"/>
      <ns0:c r="Y22" s="33" t="n"/>
      <ns0:c r="Z22" s="34" t="n"/>
      <ns0:c r="AA22" s="34" t="n"/>
      <ns0:c r="AB22" s="33" t="n"/>
      <ns0:c r="AC22" s="33" t="n"/>
      <ns0:c r="AD22" s="35" t="str">
        <ns0:f>IF(P22="","",P22-LN(7))</ns0:f>
        <ns0:v/>
      </ns0:c>
      <ns0:c r="AE22" s="35" t="str">
        <ns0:f>IF(OR(T22="",S22=""),"",T22-S22)</ns0:f>
        <ns0:v/>
      </ns0:c>
      <ns0:c r="AF22" s="35" t="str">
        <ns0:f>IF(OR(V22="",Seeds!$C$8=""),"",V22-Seeds!$C$8)</ns0:f>
        <ns0:v/>
      </ns0:c>
      <ns0:c r="AG22" s="35" t="str">
        <ns0:f>IF(OR(AF22="",Seeds!$C$10=""),"",IF(ABS(AF22)&gt;Seeds!$C$10,"Có","Không"))</ns0:f>
        <ns0:v/>
      </ns0:c>
    </ns0:row>
    <ns0:row r="23" ht="15" customHeight="1" s="20">
      <ns0:c r="A23" s="33" t="n"/>
      <ns0:c r="B23" s="33" t="n"/>
      <ns0:c r="C23" s="33" t="n"/>
      <ns0:c r="D23" s="33" t="n"/>
      <ns0:c r="E23" s="33" t="n"/>
      <ns0:c r="F23" s="33" t="n"/>
      <ns0:c r="G23" s="33" t="n"/>
      <ns0:c r="H23" s="33" t="n"/>
      <ns0:c r="I23" s="33" t="n"/>
      <ns0:c r="J23" s="33" t="n"/>
      <ns0:c r="K23" s="33" t="n"/>
      <ns0:c r="L23" s="33" t="n"/>
      <ns0:c r="M23" s="33" t="n"/>
      <ns0:c r="N23" s="33" t="n"/>
      <ns0:c r="O23" s="33" t="n"/>
      <ns0:c r="P23" s="34" t="n"/>
      <ns0:c r="Q23" s="34" t="n"/>
      <ns0:c r="R23" s="33" t="n"/>
      <ns0:c r="S23" s="34" t="n"/>
      <ns0:c r="T23" s="34" t="n"/>
      <ns0:c r="U23" s="34" t="n"/>
      <ns0:c r="V23" s="34" t="n"/>
      <ns0:c r="W23" s="33" t="n"/>
      <ns0:c r="X23" s="33" t="n"/>
      <ns0:c r="Y23" s="33" t="n"/>
      <ns0:c r="Z23" s="34" t="n"/>
      <ns0:c r="AA23" s="34" t="n"/>
      <ns0:c r="AB23" s="33" t="n"/>
      <ns0:c r="AC23" s="33" t="n"/>
      <ns0:c r="AD23" s="35" t="str">
        <ns0:f>IF(P23="","",P23-LN(7))</ns0:f>
        <ns0:v/>
      </ns0:c>
      <ns0:c r="AE23" s="35" t="str">
        <ns0:f>IF(OR(T23="",S23=""),"",T23-S23)</ns0:f>
        <ns0:v/>
      </ns0:c>
      <ns0:c r="AF23" s="35" t="str">
        <ns0:f>IF(OR(V23="",Seeds!$C$8=""),"",V23-Seeds!$C$8)</ns0:f>
        <ns0:v/>
      </ns0:c>
      <ns0:c r="AG23" s="35" t="str">
        <ns0:f>IF(OR(AF23="",Seeds!$C$10=""),"",IF(ABS(AF23)&gt;Seeds!$C$10,"Có","Không"))</ns0:f>
        <ns0:v/>
      </ns0:c>
    </ns0:row>
    <ns0:row r="24" ht="15" customHeight="1" s="20">
      <ns0:c r="A24" s="33" t="n"/>
      <ns0:c r="B24" s="33" t="n"/>
      <ns0:c r="C24" s="33" t="n"/>
      <ns0:c r="D24" s="33" t="n"/>
      <ns0:c r="E24" s="33" t="n"/>
      <ns0:c r="F24" s="33" t="n"/>
      <ns0:c r="G24" s="33" t="n"/>
      <ns0:c r="H24" s="33" t="n"/>
      <ns0:c r="I24" s="33" t="n"/>
      <ns0:c r="J24" s="33" t="n"/>
      <ns0:c r="K24" s="33" t="n"/>
      <ns0:c r="L24" s="33" t="n"/>
      <ns0:c r="M24" s="33" t="n"/>
      <ns0:c r="N24" s="33" t="n"/>
      <ns0:c r="O24" s="33" t="n"/>
      <ns0:c r="P24" s="34" t="n"/>
      <ns0:c r="Q24" s="34" t="n"/>
      <ns0:c r="R24" s="33" t="n"/>
      <ns0:c r="S24" s="34" t="n"/>
      <ns0:c r="T24" s="34" t="n"/>
      <ns0:c r="U24" s="34" t="n"/>
      <ns0:c r="V24" s="34" t="n"/>
      <ns0:c r="W24" s="33" t="n"/>
      <ns0:c r="X24" s="33" t="n"/>
      <ns0:c r="Y24" s="33" t="n"/>
      <ns0:c r="Z24" s="34" t="n"/>
      <ns0:c r="AA24" s="34" t="n"/>
      <ns0:c r="AB24" s="33" t="n"/>
      <ns0:c r="AC24" s="33" t="n"/>
      <ns0:c r="AD24" s="35" t="str">
        <ns0:f>IF(P24="","",P24-LN(7))</ns0:f>
        <ns0:v/>
      </ns0:c>
      <ns0:c r="AE24" s="35" t="str">
        <ns0:f>IF(OR(T24="",S24=""),"",T24-S24)</ns0:f>
        <ns0:v/>
      </ns0:c>
      <ns0:c r="AF24" s="35" t="str">
        <ns0:f>IF(OR(V24="",Seeds!$C$8=""),"",V24-Seeds!$C$8)</ns0:f>
        <ns0:v/>
      </ns0:c>
      <ns0:c r="AG24" s="35" t="str">
        <ns0:f>IF(OR(AF24="",Seeds!$C$10=""),"",IF(ABS(AF24)&gt;Seeds!$C$10,"Có","Không"))</ns0:f>
        <ns0:v/>
      </ns0:c>
    </ns0:row>
    <ns0:row r="25" ht="15" customHeight="1" s="20">
      <ns0:c r="A25" s="33" t="n"/>
      <ns0:c r="B25" s="33" t="n"/>
      <ns0:c r="C25" s="33" t="n"/>
      <ns0:c r="D25" s="33" t="n"/>
      <ns0:c r="E25" s="33" t="n"/>
      <ns0:c r="F25" s="33" t="n"/>
      <ns0:c r="G25" s="33" t="n"/>
      <ns0:c r="H25" s="33" t="n"/>
      <ns0:c r="I25" s="33" t="n"/>
      <ns0:c r="J25" s="33" t="n"/>
      <ns0:c r="K25" s="33" t="n"/>
      <ns0:c r="L25" s="33" t="n"/>
      <ns0:c r="M25" s="33" t="n"/>
      <ns0:c r="N25" s="33" t="n"/>
      <ns0:c r="O25" s="33" t="n"/>
      <ns0:c r="P25" s="34" t="n"/>
      <ns0:c r="Q25" s="34" t="n"/>
      <ns0:c r="R25" s="33" t="n"/>
      <ns0:c r="S25" s="34" t="n"/>
      <ns0:c r="T25" s="34" t="n"/>
      <ns0:c r="U25" s="34" t="n"/>
      <ns0:c r="V25" s="34" t="n"/>
      <ns0:c r="W25" s="33" t="n"/>
      <ns0:c r="X25" s="33" t="n"/>
      <ns0:c r="Y25" s="33" t="n"/>
      <ns0:c r="Z25" s="34" t="n"/>
      <ns0:c r="AA25" s="34" t="n"/>
      <ns0:c r="AB25" s="33" t="n"/>
      <ns0:c r="AC25" s="33" t="n"/>
      <ns0:c r="AD25" s="35" t="str">
        <ns0:f>IF(P25="","",P25-LN(7))</ns0:f>
        <ns0:v/>
      </ns0:c>
      <ns0:c r="AE25" s="35" t="str">
        <ns0:f>IF(OR(T25="",S25=""),"",T25-S25)</ns0:f>
        <ns0:v/>
      </ns0:c>
      <ns0:c r="AF25" s="35" t="str">
        <ns0:f>IF(OR(V25="",Seeds!$C$8=""),"",V25-Seeds!$C$8)</ns0:f>
        <ns0:v/>
      </ns0:c>
      <ns0:c r="AG25" s="35" t="str">
        <ns0:f>IF(OR(AF25="",Seeds!$C$10=""),"",IF(ABS(AF25)&gt;Seeds!$C$10,"Có","Không"))</ns0:f>
        <ns0:v/>
      </ns0:c>
    </ns0:row>
    <ns0:row r="26" ht="15" customHeight="1" s="20">
      <ns0:c r="A26" s="33" t="n"/>
      <ns0:c r="B26" s="33" t="n"/>
      <ns0:c r="C26" s="33" t="n"/>
      <ns0:c r="D26" s="33" t="n"/>
      <ns0:c r="E26" s="33" t="n"/>
      <ns0:c r="F26" s="33" t="n"/>
      <ns0:c r="G26" s="33" t="n"/>
      <ns0:c r="H26" s="33" t="n"/>
      <ns0:c r="I26" s="33" t="n"/>
      <ns0:c r="J26" s="33" t="n"/>
      <ns0:c r="K26" s="33" t="n"/>
      <ns0:c r="L26" s="33" t="n"/>
      <ns0:c r="M26" s="33" t="n"/>
      <ns0:c r="N26" s="33" t="n"/>
      <ns0:c r="O26" s="33" t="n"/>
      <ns0:c r="P26" s="34" t="n"/>
      <ns0:c r="Q26" s="34" t="n"/>
      <ns0:c r="R26" s="33" t="n"/>
      <ns0:c r="S26" s="34" t="n"/>
      <ns0:c r="T26" s="34" t="n"/>
      <ns0:c r="U26" s="34" t="n"/>
      <ns0:c r="V26" s="34" t="n"/>
      <ns0:c r="W26" s="33" t="n"/>
      <ns0:c r="X26" s="33" t="n"/>
      <ns0:c r="Y26" s="33" t="n"/>
      <ns0:c r="Z26" s="34" t="n"/>
      <ns0:c r="AA26" s="34" t="n"/>
      <ns0:c r="AB26" s="33" t="n"/>
      <ns0:c r="AC26" s="33" t="n"/>
      <ns0:c r="AD26" s="35" t="str">
        <ns0:f>IF(P26="","",P26-LN(7))</ns0:f>
        <ns0:v/>
      </ns0:c>
      <ns0:c r="AE26" s="35" t="str">
        <ns0:f>IF(OR(T26="",S26=""),"",T26-S26)</ns0:f>
        <ns0:v/>
      </ns0:c>
      <ns0:c r="AF26" s="35" t="str">
        <ns0:f>IF(OR(V26="",Seeds!$C$8=""),"",V26-Seeds!$C$8)</ns0:f>
        <ns0:v/>
      </ns0:c>
      <ns0:c r="AG26" s="35" t="str">
        <ns0:f>IF(OR(AF26="",Seeds!$C$10=""),"",IF(ABS(AF26)&gt;Seeds!$C$10,"Có","Không"))</ns0:f>
        <ns0:v/>
      </ns0:c>
    </ns0:row>
    <ns0:row r="27" ht="15" customHeight="1" s="20">
      <ns0:c r="A27" s="33" t="n"/>
      <ns0:c r="B27" s="33" t="n"/>
      <ns0:c r="C27" s="33" t="n"/>
      <ns0:c r="D27" s="33" t="n"/>
      <ns0:c r="E27" s="33" t="n"/>
      <ns0:c r="F27" s="33" t="n"/>
      <ns0:c r="G27" s="33" t="n"/>
      <ns0:c r="H27" s="33" t="n"/>
      <ns0:c r="I27" s="33" t="n"/>
      <ns0:c r="J27" s="33" t="n"/>
      <ns0:c r="K27" s="33" t="n"/>
      <ns0:c r="L27" s="33" t="n"/>
      <ns0:c r="M27" s="33" t="n"/>
      <ns0:c r="N27" s="33" t="n"/>
      <ns0:c r="O27" s="33" t="n"/>
      <ns0:c r="P27" s="34" t="n"/>
      <ns0:c r="Q27" s="34" t="n"/>
      <ns0:c r="R27" s="33" t="n"/>
      <ns0:c r="S27" s="34" t="n"/>
      <ns0:c r="T27" s="34" t="n"/>
      <ns0:c r="U27" s="34" t="n"/>
      <ns0:c r="V27" s="34" t="n"/>
      <ns0:c r="W27" s="33" t="n"/>
      <ns0:c r="X27" s="33" t="n"/>
      <ns0:c r="Y27" s="33" t="n"/>
      <ns0:c r="Z27" s="34" t="n"/>
      <ns0:c r="AA27" s="34" t="n"/>
      <ns0:c r="AB27" s="33" t="n"/>
      <ns0:c r="AC27" s="33" t="n"/>
      <ns0:c r="AD27" s="35" t="str">
        <ns0:f>IF(P27="","",P27-LN(7))</ns0:f>
        <ns0:v/>
      </ns0:c>
      <ns0:c r="AE27" s="35" t="str">
        <ns0:f>IF(OR(T27="",S27=""),"",T27-S27)</ns0:f>
        <ns0:v/>
      </ns0:c>
      <ns0:c r="AF27" s="35" t="str">
        <ns0:f>IF(OR(V27="",Seeds!$C$8=""),"",V27-Seeds!$C$8)</ns0:f>
        <ns0:v/>
      </ns0:c>
      <ns0:c r="AG27" s="35" t="str">
        <ns0:f>IF(OR(AF27="",Seeds!$C$10=""),"",IF(ABS(AF27)&gt;Seeds!$C$10,"Có","Không"))</ns0:f>
        <ns0:v/>
      </ns0:c>
    </ns0:row>
    <ns0:row r="28" ht="15" customHeight="1" s="20">
      <ns0:c r="A28" s="33" t="n"/>
      <ns0:c r="B28" s="33" t="n"/>
      <ns0:c r="C28" s="33" t="n"/>
      <ns0:c r="D28" s="33" t="n"/>
      <ns0:c r="E28" s="33" t="n"/>
      <ns0:c r="F28" s="33" t="n"/>
      <ns0:c r="G28" s="33" t="n"/>
      <ns0:c r="H28" s="33" t="n"/>
      <ns0:c r="I28" s="33" t="n"/>
      <ns0:c r="J28" s="33" t="n"/>
      <ns0:c r="K28" s="33" t="n"/>
      <ns0:c r="L28" s="33" t="n"/>
      <ns0:c r="M28" s="33" t="n"/>
      <ns0:c r="N28" s="33" t="n"/>
      <ns0:c r="O28" s="33" t="n"/>
      <ns0:c r="P28" s="34" t="n"/>
      <ns0:c r="Q28" s="34" t="n"/>
      <ns0:c r="R28" s="33" t="n"/>
      <ns0:c r="S28" s="34" t="n"/>
      <ns0:c r="T28" s="34" t="n"/>
      <ns0:c r="U28" s="34" t="n"/>
      <ns0:c r="V28" s="34" t="n"/>
      <ns0:c r="W28" s="33" t="n"/>
      <ns0:c r="X28" s="33" t="n"/>
      <ns0:c r="Y28" s="33" t="n"/>
      <ns0:c r="Z28" s="34" t="n"/>
      <ns0:c r="AA28" s="34" t="n"/>
      <ns0:c r="AB28" s="33" t="n"/>
      <ns0:c r="AC28" s="33" t="n"/>
      <ns0:c r="AD28" s="35" t="str">
        <ns0:f>IF(P28="","",P28-LN(7))</ns0:f>
        <ns0:v/>
      </ns0:c>
      <ns0:c r="AE28" s="35" t="str">
        <ns0:f>IF(OR(T28="",S28=""),"",T28-S28)</ns0:f>
        <ns0:v/>
      </ns0:c>
      <ns0:c r="AF28" s="35" t="str">
        <ns0:f>IF(OR(V28="",Seeds!$C$8=""),"",V28-Seeds!$C$8)</ns0:f>
        <ns0:v/>
      </ns0:c>
      <ns0:c r="AG28" s="35" t="str">
        <ns0:f>IF(OR(AF28="",Seeds!$C$10=""),"",IF(ABS(AF28)&gt;Seeds!$C$10,"Có","Không"))</ns0:f>
        <ns0:v/>
      </ns0:c>
    </ns0:row>
    <ns0:row r="29" ht="15" customHeight="1" s="20">
      <ns0:c r="A29" s="33" t="n"/>
      <ns0:c r="B29" s="33" t="n"/>
      <ns0:c r="C29" s="33" t="n"/>
      <ns0:c r="D29" s="33" t="n"/>
      <ns0:c r="E29" s="33" t="n"/>
      <ns0:c r="F29" s="33" t="n"/>
      <ns0:c r="G29" s="33" t="n"/>
      <ns0:c r="H29" s="33" t="n"/>
      <ns0:c r="I29" s="33" t="n"/>
      <ns0:c r="J29" s="33" t="n"/>
      <ns0:c r="K29" s="33" t="n"/>
      <ns0:c r="L29" s="33" t="n"/>
      <ns0:c r="M29" s="33" t="n"/>
      <ns0:c r="N29" s="33" t="n"/>
      <ns0:c r="O29" s="33" t="n"/>
      <ns0:c r="P29" s="34" t="n"/>
      <ns0:c r="Q29" s="34" t="n"/>
      <ns0:c r="R29" s="33" t="n"/>
      <ns0:c r="S29" s="34" t="n"/>
      <ns0:c r="T29" s="34" t="n"/>
      <ns0:c r="U29" s="34" t="n"/>
      <ns0:c r="V29" s="34" t="n"/>
      <ns0:c r="W29" s="33" t="n"/>
      <ns0:c r="X29" s="33" t="n"/>
      <ns0:c r="Y29" s="33" t="n"/>
      <ns0:c r="Z29" s="34" t="n"/>
      <ns0:c r="AA29" s="34" t="n"/>
      <ns0:c r="AB29" s="33" t="n"/>
      <ns0:c r="AC29" s="33" t="n"/>
      <ns0:c r="AD29" s="35" t="str">
        <ns0:f>IF(P29="","",P29-LN(7))</ns0:f>
        <ns0:v/>
      </ns0:c>
      <ns0:c r="AE29" s="35" t="str">
        <ns0:f>IF(OR(T29="",S29=""),"",T29-S29)</ns0:f>
        <ns0:v/>
      </ns0:c>
      <ns0:c r="AF29" s="35" t="str">
        <ns0:f>IF(OR(V29="",Seeds!$C$8=""),"",V29-Seeds!$C$8)</ns0:f>
        <ns0:v/>
      </ns0:c>
      <ns0:c r="AG29" s="35" t="str">
        <ns0:f>IF(OR(AF29="",Seeds!$C$10=""),"",IF(ABS(AF29)&gt;Seeds!$C$10,"Có","Không"))</ns0:f>
        <ns0:v/>
      </ns0:c>
    </ns0:row>
    <ns0:row r="30" ht="15" customHeight="1" s="20">
      <ns0:c r="A30" s="33" t="n"/>
      <ns0:c r="B30" s="33" t="n"/>
      <ns0:c r="C30" s="33" t="n"/>
      <ns0:c r="D30" s="33" t="n"/>
      <ns0:c r="E30" s="33" t="n"/>
      <ns0:c r="F30" s="33" t="n"/>
      <ns0:c r="G30" s="33" t="n"/>
      <ns0:c r="H30" s="33" t="n"/>
      <ns0:c r="I30" s="33" t="n"/>
      <ns0:c r="J30" s="33" t="n"/>
      <ns0:c r="K30" s="33" t="n"/>
      <ns0:c r="L30" s="33" t="n"/>
      <ns0:c r="M30" s="33" t="n"/>
      <ns0:c r="N30" s="33" t="n"/>
      <ns0:c r="O30" s="33" t="n"/>
      <ns0:c r="P30" s="34" t="n"/>
      <ns0:c r="Q30" s="34" t="n"/>
      <ns0:c r="R30" s="33" t="n"/>
      <ns0:c r="S30" s="34" t="n"/>
      <ns0:c r="T30" s="34" t="n"/>
      <ns0:c r="U30" s="34" t="n"/>
      <ns0:c r="V30" s="34" t="n"/>
      <ns0:c r="W30" s="33" t="n"/>
      <ns0:c r="X30" s="33" t="n"/>
      <ns0:c r="Y30" s="33" t="n"/>
      <ns0:c r="Z30" s="34" t="n"/>
      <ns0:c r="AA30" s="34" t="n"/>
      <ns0:c r="AB30" s="33" t="n"/>
      <ns0:c r="AC30" s="33" t="n"/>
      <ns0:c r="AD30" s="35" t="str">
        <ns0:f>IF(P30="","",P30-LN(7))</ns0:f>
        <ns0:v/>
      </ns0:c>
      <ns0:c r="AE30" s="35" t="str">
        <ns0:f>IF(OR(T30="",S30=""),"",T30-S30)</ns0:f>
        <ns0:v/>
      </ns0:c>
      <ns0:c r="AF30" s="35" t="str">
        <ns0:f>IF(OR(V30="",Seeds!$C$8=""),"",V30-Seeds!$C$8)</ns0:f>
        <ns0:v/>
      </ns0:c>
      <ns0:c r="AG30" s="35" t="str">
        <ns0:f>IF(OR(AF30="",Seeds!$C$10=""),"",IF(ABS(AF30)&gt;Seeds!$C$10,"Có","Không"))</ns0:f>
        <ns0:v/>
      </ns0:c>
    </ns0:row>
    <ns0:row r="31" ht="15" customHeight="1" s="20">
      <ns0:c r="A31" s="33" t="n"/>
      <ns0:c r="B31" s="33" t="n"/>
      <ns0:c r="C31" s="33" t="n"/>
      <ns0:c r="D31" s="33" t="n"/>
      <ns0:c r="E31" s="33" t="n"/>
      <ns0:c r="F31" s="33" t="n"/>
      <ns0:c r="G31" s="33" t="n"/>
      <ns0:c r="H31" s="33" t="n"/>
      <ns0:c r="I31" s="33" t="n"/>
      <ns0:c r="J31" s="33" t="n"/>
      <ns0:c r="K31" s="33" t="n"/>
      <ns0:c r="L31" s="33" t="n"/>
      <ns0:c r="M31" s="33" t="n"/>
      <ns0:c r="N31" s="33" t="n"/>
      <ns0:c r="O31" s="33" t="n"/>
      <ns0:c r="P31" s="34" t="n"/>
      <ns0:c r="Q31" s="34" t="n"/>
      <ns0:c r="R31" s="33" t="n"/>
      <ns0:c r="S31" s="34" t="n"/>
      <ns0:c r="T31" s="34" t="n"/>
      <ns0:c r="U31" s="34" t="n"/>
      <ns0:c r="V31" s="34" t="n"/>
      <ns0:c r="W31" s="33" t="n"/>
      <ns0:c r="X31" s="33" t="n"/>
      <ns0:c r="Y31" s="33" t="n"/>
      <ns0:c r="Z31" s="34" t="n"/>
      <ns0:c r="AA31" s="34" t="n"/>
      <ns0:c r="AB31" s="33" t="n"/>
      <ns0:c r="AC31" s="33" t="n"/>
      <ns0:c r="AD31" s="35" t="str">
        <ns0:f>IF(P31="","",P31-LN(7))</ns0:f>
        <ns0:v/>
      </ns0:c>
      <ns0:c r="AE31" s="35" t="str">
        <ns0:f>IF(OR(T31="",S31=""),"",T31-S31)</ns0:f>
        <ns0:v/>
      </ns0:c>
      <ns0:c r="AF31" s="35" t="str">
        <ns0:f>IF(OR(V31="",Seeds!$C$8=""),"",V31-Seeds!$C$8)</ns0:f>
        <ns0:v/>
      </ns0:c>
      <ns0:c r="AG31" s="35" t="str">
        <ns0:f>IF(OR(AF31="",Seeds!$C$10=""),"",IF(ABS(AF31)&gt;Seeds!$C$10,"Có","Không"))</ns0:f>
        <ns0:v/>
      </ns0:c>
    </ns0:row>
    <ns0:row r="32" ht="15" customHeight="1" s="20">
      <ns0:c r="A32" s="33" t="n"/>
      <ns0:c r="B32" s="33" t="n"/>
      <ns0:c r="C32" s="33" t="n"/>
      <ns0:c r="D32" s="33" t="n"/>
      <ns0:c r="E32" s="33" t="n"/>
      <ns0:c r="F32" s="33" t="n"/>
      <ns0:c r="G32" s="33" t="n"/>
      <ns0:c r="H32" s="33" t="n"/>
      <ns0:c r="I32" s="33" t="n"/>
      <ns0:c r="J32" s="33" t="n"/>
      <ns0:c r="K32" s="33" t="n"/>
      <ns0:c r="L32" s="33" t="n"/>
      <ns0:c r="M32" s="33" t="n"/>
      <ns0:c r="N32" s="33" t="n"/>
      <ns0:c r="O32" s="33" t="n"/>
      <ns0:c r="P32" s="34" t="n"/>
      <ns0:c r="Q32" s="34" t="n"/>
      <ns0:c r="R32" s="33" t="n"/>
      <ns0:c r="S32" s="34" t="n"/>
      <ns0:c r="T32" s="34" t="n"/>
      <ns0:c r="U32" s="34" t="n"/>
      <ns0:c r="V32" s="34" t="n"/>
      <ns0:c r="W32" s="33" t="n"/>
      <ns0:c r="X32" s="33" t="n"/>
      <ns0:c r="Y32" s="33" t="n"/>
      <ns0:c r="Z32" s="34" t="n"/>
      <ns0:c r="AA32" s="34" t="n"/>
      <ns0:c r="AB32" s="33" t="n"/>
      <ns0:c r="AC32" s="33" t="n"/>
      <ns0:c r="AD32" s="35" t="str">
        <ns0:f>IF(P32="","",P32-LN(7))</ns0:f>
        <ns0:v/>
      </ns0:c>
      <ns0:c r="AE32" s="35" t="str">
        <ns0:f>IF(OR(T32="",S32=""),"",T32-S32)</ns0:f>
        <ns0:v/>
      </ns0:c>
      <ns0:c r="AF32" s="35" t="str">
        <ns0:f>IF(OR(V32="",Seeds!$C$8=""),"",V32-Seeds!$C$8)</ns0:f>
        <ns0:v/>
      </ns0:c>
      <ns0:c r="AG32" s="35" t="str">
        <ns0:f>IF(OR(AF32="",Seeds!$C$10=""),"",IF(ABS(AF32)&gt;Seeds!$C$10,"Có","Không"))</ns0:f>
        <ns0:v/>
      </ns0:c>
    </ns0:row>
    <ns0:row r="33" ht="15" customHeight="1" s="20">
      <ns0:c r="A33" s="33" t="n"/>
      <ns0:c r="B33" s="33" t="n"/>
      <ns0:c r="C33" s="33" t="n"/>
      <ns0:c r="D33" s="33" t="n"/>
      <ns0:c r="E33" s="33" t="n"/>
      <ns0:c r="F33" s="33" t="n"/>
      <ns0:c r="G33" s="33" t="n"/>
      <ns0:c r="H33" s="33" t="n"/>
      <ns0:c r="I33" s="33" t="n"/>
      <ns0:c r="J33" s="33" t="n"/>
      <ns0:c r="K33" s="33" t="n"/>
      <ns0:c r="L33" s="33" t="n"/>
      <ns0:c r="M33" s="33" t="n"/>
      <ns0:c r="N33" s="33" t="n"/>
      <ns0:c r="O33" s="33" t="n"/>
      <ns0:c r="P33" s="34" t="n"/>
      <ns0:c r="Q33" s="34" t="n"/>
      <ns0:c r="R33" s="33" t="n"/>
      <ns0:c r="S33" s="34" t="n"/>
      <ns0:c r="T33" s="34" t="n"/>
      <ns0:c r="U33" s="34" t="n"/>
      <ns0:c r="V33" s="34" t="n"/>
      <ns0:c r="W33" s="33" t="n"/>
      <ns0:c r="X33" s="33" t="n"/>
      <ns0:c r="Y33" s="33" t="n"/>
      <ns0:c r="Z33" s="34" t="n"/>
      <ns0:c r="AA33" s="34" t="n"/>
      <ns0:c r="AB33" s="33" t="n"/>
      <ns0:c r="AC33" s="33" t="n"/>
      <ns0:c r="AD33" s="35" t="str">
        <ns0:f>IF(P33="","",P33-LN(7))</ns0:f>
        <ns0:v/>
      </ns0:c>
      <ns0:c r="AE33" s="35" t="str">
        <ns0:f>IF(OR(T33="",S33=""),"",T33-S33)</ns0:f>
        <ns0:v/>
      </ns0:c>
      <ns0:c r="AF33" s="35" t="str">
        <ns0:f>IF(OR(V33="",Seeds!$C$8=""),"",V33-Seeds!$C$8)</ns0:f>
        <ns0:v/>
      </ns0:c>
      <ns0:c r="AG33" s="35" t="str">
        <ns0:f>IF(OR(AF33="",Seeds!$C$10=""),"",IF(ABS(AF33)&gt;Seeds!$C$10,"Có","Không"))</ns0:f>
        <ns0:v/>
      </ns0:c>
    </ns0:row>
    <ns0:row r="34" ht="15" customHeight="1" s="20">
      <ns0:c r="A34" s="33" t="n"/>
      <ns0:c r="B34" s="33" t="n"/>
      <ns0:c r="C34" s="33" t="n"/>
      <ns0:c r="D34" s="33" t="n"/>
      <ns0:c r="E34" s="33" t="n"/>
      <ns0:c r="F34" s="33" t="n"/>
      <ns0:c r="G34" s="33" t="n"/>
      <ns0:c r="H34" s="33" t="n"/>
      <ns0:c r="I34" s="33" t="n"/>
      <ns0:c r="J34" s="33" t="n"/>
      <ns0:c r="K34" s="33" t="n"/>
      <ns0:c r="L34" s="33" t="n"/>
      <ns0:c r="M34" s="33" t="n"/>
      <ns0:c r="N34" s="33" t="n"/>
      <ns0:c r="O34" s="33" t="n"/>
      <ns0:c r="P34" s="34" t="n"/>
      <ns0:c r="Q34" s="34" t="n"/>
      <ns0:c r="R34" s="33" t="n"/>
      <ns0:c r="S34" s="34" t="n"/>
      <ns0:c r="T34" s="34" t="n"/>
      <ns0:c r="U34" s="34" t="n"/>
      <ns0:c r="V34" s="34" t="n"/>
      <ns0:c r="W34" s="33" t="n"/>
      <ns0:c r="X34" s="33" t="n"/>
      <ns0:c r="Y34" s="33" t="n"/>
      <ns0:c r="Z34" s="34" t="n"/>
      <ns0:c r="AA34" s="34" t="n"/>
      <ns0:c r="AB34" s="33" t="n"/>
      <ns0:c r="AC34" s="33" t="n"/>
      <ns0:c r="AD34" s="35" t="str">
        <ns0:f>IF(P34="","",P34-LN(7))</ns0:f>
        <ns0:v/>
      </ns0:c>
      <ns0:c r="AE34" s="35" t="str">
        <ns0:f>IF(OR(T34="",S34=""),"",T34-S34)</ns0:f>
        <ns0:v/>
      </ns0:c>
      <ns0:c r="AF34" s="35" t="str">
        <ns0:f>IF(OR(V34="",Seeds!$C$8=""),"",V34-Seeds!$C$8)</ns0:f>
        <ns0:v/>
      </ns0:c>
      <ns0:c r="AG34" s="35" t="str">
        <ns0:f>IF(OR(AF34="",Seeds!$C$10=""),"",IF(ABS(AF34)&gt;Seeds!$C$10,"Có","Không"))</ns0:f>
        <ns0:v/>
      </ns0:c>
    </ns0:row>
    <ns0:row r="35" ht="15" customHeight="1" s="20">
      <ns0:c r="A35" s="33" t="n"/>
      <ns0:c r="B35" s="33" t="n"/>
      <ns0:c r="C35" s="33" t="n"/>
      <ns0:c r="D35" s="33" t="n"/>
      <ns0:c r="E35" s="33" t="n"/>
      <ns0:c r="F35" s="33" t="n"/>
      <ns0:c r="G35" s="33" t="n"/>
      <ns0:c r="H35" s="33" t="n"/>
      <ns0:c r="I35" s="33" t="n"/>
      <ns0:c r="J35" s="33" t="n"/>
      <ns0:c r="K35" s="33" t="n"/>
      <ns0:c r="L35" s="33" t="n"/>
      <ns0:c r="M35" s="33" t="n"/>
      <ns0:c r="N35" s="33" t="n"/>
      <ns0:c r="O35" s="33" t="n"/>
      <ns0:c r="P35" s="34" t="n"/>
      <ns0:c r="Q35" s="34" t="n"/>
      <ns0:c r="R35" s="33" t="n"/>
      <ns0:c r="S35" s="34" t="n"/>
      <ns0:c r="T35" s="34" t="n"/>
      <ns0:c r="U35" s="34" t="n"/>
      <ns0:c r="V35" s="34" t="n"/>
      <ns0:c r="W35" s="33" t="n"/>
      <ns0:c r="X35" s="33" t="n"/>
      <ns0:c r="Y35" s="33" t="n"/>
      <ns0:c r="Z35" s="34" t="n"/>
      <ns0:c r="AA35" s="34" t="n"/>
      <ns0:c r="AB35" s="33" t="n"/>
      <ns0:c r="AC35" s="33" t="n"/>
      <ns0:c r="AD35" s="35" t="str">
        <ns0:f>IF(P35="","",P35-LN(7))</ns0:f>
        <ns0:v/>
      </ns0:c>
      <ns0:c r="AE35" s="35" t="str">
        <ns0:f>IF(OR(T35="",S35=""),"",T35-S35)</ns0:f>
        <ns0:v/>
      </ns0:c>
      <ns0:c r="AF35" s="35" t="str">
        <ns0:f>IF(OR(V35="",Seeds!$C$8=""),"",V35-Seeds!$C$8)</ns0:f>
        <ns0:v/>
      </ns0:c>
      <ns0:c r="AG35" s="35" t="str">
        <ns0:f>IF(OR(AF35="",Seeds!$C$10=""),"",IF(ABS(AF35)&gt;Seeds!$C$10,"Có","Không"))</ns0:f>
        <ns0:v/>
      </ns0:c>
    </ns0:row>
    <ns0:row r="36" ht="15" customHeight="1" s="20">
      <ns0:c r="A36" s="33" t="n"/>
      <ns0:c r="B36" s="33" t="n"/>
      <ns0:c r="C36" s="33" t="n"/>
      <ns0:c r="D36" s="33" t="n"/>
      <ns0:c r="E36" s="33" t="n"/>
      <ns0:c r="F36" s="33" t="n"/>
      <ns0:c r="G36" s="33" t="n"/>
      <ns0:c r="H36" s="33" t="n"/>
      <ns0:c r="I36" s="33" t="n"/>
      <ns0:c r="J36" s="33" t="n"/>
      <ns0:c r="K36" s="33" t="n"/>
      <ns0:c r="L36" s="33" t="n"/>
      <ns0:c r="M36" s="33" t="n"/>
      <ns0:c r="N36" s="33" t="n"/>
      <ns0:c r="O36" s="33" t="n"/>
      <ns0:c r="P36" s="34" t="n"/>
      <ns0:c r="Q36" s="34" t="n"/>
      <ns0:c r="R36" s="33" t="n"/>
      <ns0:c r="S36" s="34" t="n"/>
      <ns0:c r="T36" s="34" t="n"/>
      <ns0:c r="U36" s="34" t="n"/>
      <ns0:c r="V36" s="34" t="n"/>
      <ns0:c r="W36" s="33" t="n"/>
      <ns0:c r="X36" s="33" t="n"/>
      <ns0:c r="Y36" s="33" t="n"/>
      <ns0:c r="Z36" s="34" t="n"/>
      <ns0:c r="AA36" s="34" t="n"/>
      <ns0:c r="AB36" s="33" t="n"/>
      <ns0:c r="AC36" s="33" t="n"/>
      <ns0:c r="AD36" s="35" t="str">
        <ns0:f>IF(P36="","",P36-LN(7))</ns0:f>
        <ns0:v/>
      </ns0:c>
      <ns0:c r="AE36" s="35" t="str">
        <ns0:f>IF(OR(T36="",S36=""),"",T36-S36)</ns0:f>
        <ns0:v/>
      </ns0:c>
      <ns0:c r="AF36" s="35" t="str">
        <ns0:f>IF(OR(V36="",Seeds!$C$8=""),"",V36-Seeds!$C$8)</ns0:f>
        <ns0:v/>
      </ns0:c>
      <ns0:c r="AG36" s="35" t="str">
        <ns0:f>IF(OR(AF36="",Seeds!$C$10=""),"",IF(ABS(AF36)&gt;Seeds!$C$10,"Có","Không"))</ns0:f>
        <ns0:v/>
      </ns0:c>
    </ns0:row>
    <ns0:row r="37" ht="15" customHeight="1" s="20">
      <ns0:c r="A37" s="33" t="n"/>
      <ns0:c r="B37" s="33" t="n"/>
      <ns0:c r="C37" s="33" t="n"/>
      <ns0:c r="D37" s="33" t="n"/>
      <ns0:c r="E37" s="33" t="n"/>
      <ns0:c r="F37" s="33" t="n"/>
      <ns0:c r="G37" s="33" t="n"/>
      <ns0:c r="H37" s="33" t="n"/>
      <ns0:c r="I37" s="33" t="n"/>
      <ns0:c r="J37" s="33" t="n"/>
      <ns0:c r="K37" s="33" t="n"/>
      <ns0:c r="L37" s="33" t="n"/>
      <ns0:c r="M37" s="33" t="n"/>
      <ns0:c r="N37" s="33" t="n"/>
      <ns0:c r="O37" s="33" t="n"/>
      <ns0:c r="P37" s="34" t="n"/>
      <ns0:c r="Q37" s="34" t="n"/>
      <ns0:c r="R37" s="33" t="n"/>
      <ns0:c r="S37" s="34" t="n"/>
      <ns0:c r="T37" s="34" t="n"/>
      <ns0:c r="U37" s="34" t="n"/>
      <ns0:c r="V37" s="34" t="n"/>
      <ns0:c r="W37" s="33" t="n"/>
      <ns0:c r="X37" s="33" t="n"/>
      <ns0:c r="Y37" s="33" t="n"/>
      <ns0:c r="Z37" s="34" t="n"/>
      <ns0:c r="AA37" s="34" t="n"/>
      <ns0:c r="AB37" s="33" t="n"/>
      <ns0:c r="AC37" s="33" t="n"/>
      <ns0:c r="AD37" s="35" t="str">
        <ns0:f>IF(P37="","",P37-LN(7))</ns0:f>
        <ns0:v/>
      </ns0:c>
      <ns0:c r="AE37" s="35" t="str">
        <ns0:f>IF(OR(T37="",S37=""),"",T37-S37)</ns0:f>
        <ns0:v/>
      </ns0:c>
      <ns0:c r="AF37" s="35" t="str">
        <ns0:f>IF(OR(V37="",Seeds!$C$8=""),"",V37-Seeds!$C$8)</ns0:f>
        <ns0:v/>
      </ns0:c>
      <ns0:c r="AG37" s="35" t="str">
        <ns0:f>IF(OR(AF37="",Seeds!$C$10=""),"",IF(ABS(AF37)&gt;Seeds!$C$10,"Có","Không"))</ns0:f>
        <ns0:v/>
      </ns0:c>
    </ns0:row>
    <ns0:row r="38" ht="15" customHeight="1" s="20">
      <ns0:c r="A38" s="33" t="n"/>
      <ns0:c r="B38" s="33" t="n"/>
      <ns0:c r="C38" s="33" t="n"/>
      <ns0:c r="D38" s="33" t="n"/>
      <ns0:c r="E38" s="33" t="n"/>
      <ns0:c r="F38" s="33" t="n"/>
      <ns0:c r="G38" s="33" t="n"/>
      <ns0:c r="H38" s="33" t="n"/>
      <ns0:c r="I38" s="33" t="n"/>
      <ns0:c r="J38" s="33" t="n"/>
      <ns0:c r="K38" s="33" t="n"/>
      <ns0:c r="L38" s="33" t="n"/>
      <ns0:c r="M38" s="33" t="n"/>
      <ns0:c r="N38" s="33" t="n"/>
      <ns0:c r="O38" s="33" t="n"/>
      <ns0:c r="P38" s="34" t="n"/>
      <ns0:c r="Q38" s="34" t="n"/>
      <ns0:c r="R38" s="33" t="n"/>
      <ns0:c r="S38" s="34" t="n"/>
      <ns0:c r="T38" s="34" t="n"/>
      <ns0:c r="U38" s="34" t="n"/>
      <ns0:c r="V38" s="34" t="n"/>
      <ns0:c r="W38" s="33" t="n"/>
      <ns0:c r="X38" s="33" t="n"/>
      <ns0:c r="Y38" s="33" t="n"/>
      <ns0:c r="Z38" s="34" t="n"/>
      <ns0:c r="AA38" s="34" t="n"/>
      <ns0:c r="AB38" s="33" t="n"/>
      <ns0:c r="AC38" s="33" t="n"/>
      <ns0:c r="AD38" s="35" t="str">
        <ns0:f>IF(P38="","",P38-LN(7))</ns0:f>
        <ns0:v/>
      </ns0:c>
      <ns0:c r="AE38" s="35" t="str">
        <ns0:f>IF(OR(T38="",S38=""),"",T38-S38)</ns0:f>
        <ns0:v/>
      </ns0:c>
      <ns0:c r="AF38" s="35" t="str">
        <ns0:f>IF(OR(V38="",Seeds!$C$8=""),"",V38-Seeds!$C$8)</ns0:f>
        <ns0:v/>
      </ns0:c>
      <ns0:c r="AG38" s="35" t="str">
        <ns0:f>IF(OR(AF38="",Seeds!$C$10=""),"",IF(ABS(AF38)&gt;Seeds!$C$10,"Có","Không"))</ns0:f>
        <ns0:v/>
      </ns0:c>
    </ns0:row>
    <ns0:row r="39" ht="15" customHeight="1" s="20">
      <ns0:c r="A39" s="33" t="n"/>
      <ns0:c r="B39" s="33" t="n"/>
      <ns0:c r="C39" s="33" t="n"/>
      <ns0:c r="D39" s="33" t="n"/>
      <ns0:c r="E39" s="33" t="n"/>
      <ns0:c r="F39" s="33" t="n"/>
      <ns0:c r="G39" s="33" t="n"/>
      <ns0:c r="H39" s="33" t="n"/>
      <ns0:c r="I39" s="33" t="n"/>
      <ns0:c r="J39" s="33" t="n"/>
      <ns0:c r="K39" s="33" t="n"/>
      <ns0:c r="L39" s="33" t="n"/>
      <ns0:c r="M39" s="33" t="n"/>
      <ns0:c r="N39" s="33" t="n"/>
      <ns0:c r="O39" s="33" t="n"/>
      <ns0:c r="P39" s="34" t="n"/>
      <ns0:c r="Q39" s="34" t="n"/>
      <ns0:c r="R39" s="33" t="n"/>
      <ns0:c r="S39" s="34" t="n"/>
      <ns0:c r="T39" s="34" t="n"/>
      <ns0:c r="U39" s="34" t="n"/>
      <ns0:c r="V39" s="34" t="n"/>
      <ns0:c r="W39" s="33" t="n"/>
      <ns0:c r="X39" s="33" t="n"/>
      <ns0:c r="Y39" s="33" t="n"/>
      <ns0:c r="Z39" s="34" t="n"/>
      <ns0:c r="AA39" s="34" t="n"/>
      <ns0:c r="AB39" s="33" t="n"/>
      <ns0:c r="AC39" s="33" t="n"/>
      <ns0:c r="AD39" s="35" t="str">
        <ns0:f>IF(P39="","",P39-LN(7))</ns0:f>
        <ns0:v/>
      </ns0:c>
      <ns0:c r="AE39" s="35" t="str">
        <ns0:f>IF(OR(T39="",S39=""),"",T39-S39)</ns0:f>
        <ns0:v/>
      </ns0:c>
      <ns0:c r="AF39" s="35" t="str">
        <ns0:f>IF(OR(V39="",Seeds!$C$8=""),"",V39-Seeds!$C$8)</ns0:f>
        <ns0:v/>
      </ns0:c>
      <ns0:c r="AG39" s="35" t="str">
        <ns0:f>IF(OR(AF39="",Seeds!$C$10=""),"",IF(ABS(AF39)&gt;Seeds!$C$10,"Có","Không"))</ns0:f>
        <ns0:v/>
      </ns0:c>
    </ns0:row>
    <ns0:row r="40" ht="15" customHeight="1" s="20">
      <ns0:c r="A40" s="33" t="n"/>
      <ns0:c r="B40" s="33" t="n"/>
      <ns0:c r="C40" s="33" t="n"/>
      <ns0:c r="D40" s="33" t="n"/>
      <ns0:c r="E40" s="33" t="n"/>
      <ns0:c r="F40" s="33" t="n"/>
      <ns0:c r="G40" s="33" t="n"/>
      <ns0:c r="H40" s="33" t="n"/>
      <ns0:c r="I40" s="33" t="n"/>
      <ns0:c r="J40" s="33" t="n"/>
      <ns0:c r="K40" s="33" t="n"/>
      <ns0:c r="L40" s="33" t="n"/>
      <ns0:c r="M40" s="33" t="n"/>
      <ns0:c r="N40" s="33" t="n"/>
      <ns0:c r="O40" s="33" t="n"/>
      <ns0:c r="P40" s="34" t="n"/>
      <ns0:c r="Q40" s="34" t="n"/>
      <ns0:c r="R40" s="33" t="n"/>
      <ns0:c r="S40" s="34" t="n"/>
      <ns0:c r="T40" s="34" t="n"/>
      <ns0:c r="U40" s="34" t="n"/>
      <ns0:c r="V40" s="34" t="n"/>
      <ns0:c r="W40" s="33" t="n"/>
      <ns0:c r="X40" s="33" t="n"/>
      <ns0:c r="Y40" s="33" t="n"/>
      <ns0:c r="Z40" s="34" t="n"/>
      <ns0:c r="AA40" s="34" t="n"/>
      <ns0:c r="AB40" s="33" t="n"/>
      <ns0:c r="AC40" s="33" t="n"/>
      <ns0:c r="AD40" s="35" t="str">
        <ns0:f>IF(P40="","",P40-LN(7))</ns0:f>
        <ns0:v/>
      </ns0:c>
      <ns0:c r="AE40" s="35" t="str">
        <ns0:f>IF(OR(T40="",S40=""),"",T40-S40)</ns0:f>
        <ns0:v/>
      </ns0:c>
      <ns0:c r="AF40" s="35" t="str">
        <ns0:f>IF(OR(V40="",Seeds!$C$8=""),"",V40-Seeds!$C$8)</ns0:f>
        <ns0:v/>
      </ns0:c>
      <ns0:c r="AG40" s="35" t="str">
        <ns0:f>IF(OR(AF40="",Seeds!$C$10=""),"",IF(ABS(AF40)&gt;Seeds!$C$10,"Có","Không"))</ns0:f>
        <ns0:v/>
      </ns0:c>
    </ns0:row>
    <ns0:row r="41" ht="15" customHeight="1" s="20">
      <ns0:c r="A41" s="33" t="n"/>
      <ns0:c r="B41" s="33" t="n"/>
      <ns0:c r="C41" s="33" t="n"/>
      <ns0:c r="D41" s="33" t="n"/>
      <ns0:c r="E41" s="33" t="n"/>
      <ns0:c r="F41" s="33" t="n"/>
      <ns0:c r="G41" s="33" t="n"/>
      <ns0:c r="H41" s="33" t="n"/>
      <ns0:c r="I41" s="33" t="n"/>
      <ns0:c r="J41" s="33" t="n"/>
      <ns0:c r="K41" s="33" t="n"/>
      <ns0:c r="L41" s="33" t="n"/>
      <ns0:c r="M41" s="33" t="n"/>
      <ns0:c r="N41" s="33" t="n"/>
      <ns0:c r="O41" s="33" t="n"/>
      <ns0:c r="P41" s="34" t="n"/>
      <ns0:c r="Q41" s="34" t="n"/>
      <ns0:c r="R41" s="33" t="n"/>
      <ns0:c r="S41" s="34" t="n"/>
      <ns0:c r="T41" s="34" t="n"/>
      <ns0:c r="U41" s="34" t="n"/>
      <ns0:c r="V41" s="34" t="n"/>
      <ns0:c r="W41" s="33" t="n"/>
      <ns0:c r="X41" s="33" t="n"/>
      <ns0:c r="Y41" s="33" t="n"/>
      <ns0:c r="Z41" s="34" t="n"/>
      <ns0:c r="AA41" s="34" t="n"/>
      <ns0:c r="AB41" s="33" t="n"/>
      <ns0:c r="AC41" s="33" t="n"/>
      <ns0:c r="AD41" s="35" t="str">
        <ns0:f>IF(P41="","",P41-LN(7))</ns0:f>
        <ns0:v/>
      </ns0:c>
      <ns0:c r="AE41" s="35" t="str">
        <ns0:f>IF(OR(T41="",S41=""),"",T41-S41)</ns0:f>
        <ns0:v/>
      </ns0:c>
      <ns0:c r="AF41" s="35" t="str">
        <ns0:f>IF(OR(V41="",Seeds!$C$8=""),"",V41-Seeds!$C$8)</ns0:f>
        <ns0:v/>
      </ns0:c>
      <ns0:c r="AG41" s="35" t="str">
        <ns0:f>IF(OR(AF41="",Seeds!$C$10=""),"",IF(ABS(AF41)&gt;Seeds!$C$10,"Có","Không"))</ns0:f>
        <ns0:v/>
      </ns0:c>
    </ns0:row>
    <ns0:row r="42" ht="15" customHeight="1" s="20">
      <ns0:c r="A42" s="33" t="n"/>
      <ns0:c r="B42" s="33" t="n"/>
      <ns0:c r="C42" s="33" t="n"/>
      <ns0:c r="D42" s="33" t="n"/>
      <ns0:c r="E42" s="33" t="n"/>
      <ns0:c r="F42" s="33" t="n"/>
      <ns0:c r="G42" s="33" t="n"/>
      <ns0:c r="H42" s="33" t="n"/>
      <ns0:c r="I42" s="33" t="n"/>
      <ns0:c r="J42" s="33" t="n"/>
      <ns0:c r="K42" s="33" t="n"/>
      <ns0:c r="L42" s="33" t="n"/>
      <ns0:c r="M42" s="33" t="n"/>
      <ns0:c r="N42" s="33" t="n"/>
      <ns0:c r="O42" s="33" t="n"/>
      <ns0:c r="P42" s="34" t="n"/>
      <ns0:c r="Q42" s="34" t="n"/>
      <ns0:c r="R42" s="33" t="n"/>
      <ns0:c r="S42" s="34" t="n"/>
      <ns0:c r="T42" s="34" t="n"/>
      <ns0:c r="U42" s="34" t="n"/>
      <ns0:c r="V42" s="34" t="n"/>
      <ns0:c r="W42" s="33" t="n"/>
      <ns0:c r="X42" s="33" t="n"/>
      <ns0:c r="Y42" s="33" t="n"/>
      <ns0:c r="Z42" s="34" t="n"/>
      <ns0:c r="AA42" s="34" t="n"/>
      <ns0:c r="AB42" s="33" t="n"/>
      <ns0:c r="AC42" s="33" t="n"/>
      <ns0:c r="AD42" s="35" t="str">
        <ns0:f>IF(P42="","",P42-LN(7))</ns0:f>
        <ns0:v/>
      </ns0:c>
      <ns0:c r="AE42" s="35" t="str">
        <ns0:f>IF(OR(T42="",S42=""),"",T42-S42)</ns0:f>
        <ns0:v/>
      </ns0:c>
      <ns0:c r="AF42" s="35" t="str">
        <ns0:f>IF(OR(V42="",Seeds!$C$8=""),"",V42-Seeds!$C$8)</ns0:f>
        <ns0:v/>
      </ns0:c>
      <ns0:c r="AG42" s="35" t="str">
        <ns0:f>IF(OR(AF42="",Seeds!$C$10=""),"",IF(ABS(AF42)&gt;Seeds!$C$10,"Có","Không"))</ns0:f>
        <ns0:v/>
      </ns0:c>
    </ns0:row>
    <ns0:row r="43" ht="15" customHeight="1" s="20">
      <ns0:c r="A43" s="33" t="n"/>
      <ns0:c r="B43" s="33" t="n"/>
      <ns0:c r="C43" s="33" t="n"/>
      <ns0:c r="D43" s="33" t="n"/>
      <ns0:c r="E43" s="33" t="n"/>
      <ns0:c r="F43" s="33" t="n"/>
      <ns0:c r="G43" s="33" t="n"/>
      <ns0:c r="H43" s="33" t="n"/>
      <ns0:c r="I43" s="33" t="n"/>
      <ns0:c r="J43" s="33" t="n"/>
      <ns0:c r="K43" s="33" t="n"/>
      <ns0:c r="L43" s="33" t="n"/>
      <ns0:c r="M43" s="33" t="n"/>
      <ns0:c r="N43" s="33" t="n"/>
      <ns0:c r="O43" s="33" t="n"/>
      <ns0:c r="P43" s="34" t="n"/>
      <ns0:c r="Q43" s="34" t="n"/>
      <ns0:c r="R43" s="33" t="n"/>
      <ns0:c r="S43" s="34" t="n"/>
      <ns0:c r="T43" s="34" t="n"/>
      <ns0:c r="U43" s="34" t="n"/>
      <ns0:c r="V43" s="34" t="n"/>
      <ns0:c r="W43" s="33" t="n"/>
      <ns0:c r="X43" s="33" t="n"/>
      <ns0:c r="Y43" s="33" t="n"/>
      <ns0:c r="Z43" s="34" t="n"/>
      <ns0:c r="AA43" s="34" t="n"/>
      <ns0:c r="AB43" s="33" t="n"/>
      <ns0:c r="AC43" s="33" t="n"/>
      <ns0:c r="AD43" s="35" t="str">
        <ns0:f>IF(P43="","",P43-LN(7))</ns0:f>
        <ns0:v/>
      </ns0:c>
      <ns0:c r="AE43" s="35" t="str">
        <ns0:f>IF(OR(T43="",S43=""),"",T43-S43)</ns0:f>
        <ns0:v/>
      </ns0:c>
      <ns0:c r="AF43" s="35" t="str">
        <ns0:f>IF(OR(V43="",Seeds!$C$8=""),"",V43-Seeds!$C$8)</ns0:f>
        <ns0:v/>
      </ns0:c>
      <ns0:c r="AG43" s="35" t="str">
        <ns0:f>IF(OR(AF43="",Seeds!$C$10=""),"",IF(ABS(AF43)&gt;Seeds!$C$10,"Có","Không"))</ns0:f>
        <ns0:v/>
      </ns0:c>
    </ns0:row>
    <ns0:row r="44" ht="15" customHeight="1" s="20">
      <ns0:c r="A44" s="33" t="n"/>
      <ns0:c r="B44" s="33" t="n"/>
      <ns0:c r="C44" s="33" t="n"/>
      <ns0:c r="D44" s="33" t="n"/>
      <ns0:c r="E44" s="33" t="n"/>
      <ns0:c r="F44" s="33" t="n"/>
      <ns0:c r="G44" s="33" t="n"/>
      <ns0:c r="H44" s="33" t="n"/>
      <ns0:c r="I44" s="33" t="n"/>
      <ns0:c r="J44" s="33" t="n"/>
      <ns0:c r="K44" s="33" t="n"/>
      <ns0:c r="L44" s="33" t="n"/>
      <ns0:c r="M44" s="33" t="n"/>
      <ns0:c r="N44" s="33" t="n"/>
      <ns0:c r="O44" s="33" t="n"/>
      <ns0:c r="P44" s="34" t="n"/>
      <ns0:c r="Q44" s="34" t="n"/>
      <ns0:c r="R44" s="33" t="n"/>
      <ns0:c r="S44" s="34" t="n"/>
      <ns0:c r="T44" s="34" t="n"/>
      <ns0:c r="U44" s="34" t="n"/>
      <ns0:c r="V44" s="34" t="n"/>
      <ns0:c r="W44" s="33" t="n"/>
      <ns0:c r="X44" s="33" t="n"/>
      <ns0:c r="Y44" s="33" t="n"/>
      <ns0:c r="Z44" s="34" t="n"/>
      <ns0:c r="AA44" s="34" t="n"/>
      <ns0:c r="AB44" s="33" t="n"/>
      <ns0:c r="AC44" s="33" t="n"/>
      <ns0:c r="AD44" s="35" t="str">
        <ns0:f>IF(P44="","",P44-LN(7))</ns0:f>
        <ns0:v/>
      </ns0:c>
      <ns0:c r="AE44" s="35" t="str">
        <ns0:f>IF(OR(T44="",S44=""),"",T44-S44)</ns0:f>
        <ns0:v/>
      </ns0:c>
      <ns0:c r="AF44" s="35" t="str">
        <ns0:f>IF(OR(V44="",Seeds!$C$8=""),"",V44-Seeds!$C$8)</ns0:f>
        <ns0:v/>
      </ns0:c>
      <ns0:c r="AG44" s="35" t="str">
        <ns0:f>IF(OR(AF44="",Seeds!$C$10=""),"",IF(ABS(AF44)&gt;Seeds!$C$10,"Có","Không"))</ns0:f>
        <ns0:v/>
      </ns0:c>
    </ns0:row>
    <ns0:row r="45" ht="15" customHeight="1" s="20">
      <ns0:c r="A45" s="33" t="n"/>
      <ns0:c r="B45" s="33" t="n"/>
      <ns0:c r="C45" s="33" t="n"/>
      <ns0:c r="D45" s="33" t="n"/>
      <ns0:c r="E45" s="33" t="n"/>
      <ns0:c r="F45" s="33" t="n"/>
      <ns0:c r="G45" s="33" t="n"/>
      <ns0:c r="H45" s="33" t="n"/>
      <ns0:c r="I45" s="33" t="n"/>
      <ns0:c r="J45" s="33" t="n"/>
      <ns0:c r="K45" s="33" t="n"/>
      <ns0:c r="L45" s="33" t="n"/>
      <ns0:c r="M45" s="33" t="n"/>
      <ns0:c r="N45" s="33" t="n"/>
      <ns0:c r="O45" s="33" t="n"/>
      <ns0:c r="P45" s="34" t="n"/>
      <ns0:c r="Q45" s="34" t="n"/>
      <ns0:c r="R45" s="33" t="n"/>
      <ns0:c r="S45" s="34" t="n"/>
      <ns0:c r="T45" s="34" t="n"/>
      <ns0:c r="U45" s="34" t="n"/>
      <ns0:c r="V45" s="34" t="n"/>
      <ns0:c r="W45" s="33" t="n"/>
      <ns0:c r="X45" s="33" t="n"/>
      <ns0:c r="Y45" s="33" t="n"/>
      <ns0:c r="Z45" s="34" t="n"/>
      <ns0:c r="AA45" s="34" t="n"/>
      <ns0:c r="AB45" s="33" t="n"/>
      <ns0:c r="AC45" s="33" t="n"/>
      <ns0:c r="AD45" s="35" t="str">
        <ns0:f>IF(P45="","",P45-LN(7))</ns0:f>
        <ns0:v/>
      </ns0:c>
      <ns0:c r="AE45" s="35" t="str">
        <ns0:f>IF(OR(T45="",S45=""),"",T45-S45)</ns0:f>
        <ns0:v/>
      </ns0:c>
      <ns0:c r="AF45" s="35" t="str">
        <ns0:f>IF(OR(V45="",Seeds!$C$8=""),"",V45-Seeds!$C$8)</ns0:f>
        <ns0:v/>
      </ns0:c>
      <ns0:c r="AG45" s="35" t="str">
        <ns0:f>IF(OR(AF45="",Seeds!$C$10=""),"",IF(ABS(AF45)&gt;Seeds!$C$10,"Có","Không"))</ns0:f>
        <ns0:v/>
      </ns0:c>
    </ns0:row>
    <ns0:row r="46" ht="15" customHeight="1" s="20">
      <ns0:c r="A46" s="33" t="n"/>
      <ns0:c r="B46" s="33" t="n"/>
      <ns0:c r="C46" s="33" t="n"/>
      <ns0:c r="D46" s="33" t="n"/>
      <ns0:c r="E46" s="33" t="n"/>
      <ns0:c r="F46" s="33" t="n"/>
      <ns0:c r="G46" s="33" t="n"/>
      <ns0:c r="H46" s="33" t="n"/>
      <ns0:c r="I46" s="33" t="n"/>
      <ns0:c r="J46" s="33" t="n"/>
      <ns0:c r="K46" s="33" t="n"/>
      <ns0:c r="L46" s="33" t="n"/>
      <ns0:c r="M46" s="33" t="n"/>
      <ns0:c r="N46" s="33" t="n"/>
      <ns0:c r="O46" s="33" t="n"/>
      <ns0:c r="P46" s="34" t="n"/>
      <ns0:c r="Q46" s="34" t="n"/>
      <ns0:c r="R46" s="33" t="n"/>
      <ns0:c r="S46" s="34" t="n"/>
      <ns0:c r="T46" s="34" t="n"/>
      <ns0:c r="U46" s="34" t="n"/>
      <ns0:c r="V46" s="34" t="n"/>
      <ns0:c r="W46" s="33" t="n"/>
      <ns0:c r="X46" s="33" t="n"/>
      <ns0:c r="Y46" s="33" t="n"/>
      <ns0:c r="Z46" s="34" t="n"/>
      <ns0:c r="AA46" s="34" t="n"/>
      <ns0:c r="AB46" s="33" t="n"/>
      <ns0:c r="AC46" s="33" t="n"/>
      <ns0:c r="AD46" s="35" t="str">
        <ns0:f>IF(P46="","",P46-LN(7))</ns0:f>
        <ns0:v/>
      </ns0:c>
      <ns0:c r="AE46" s="35" t="str">
        <ns0:f>IF(OR(T46="",S46=""),"",T46-S46)</ns0:f>
        <ns0:v/>
      </ns0:c>
      <ns0:c r="AF46" s="35" t="str">
        <ns0:f>IF(OR(V46="",Seeds!$C$8=""),"",V46-Seeds!$C$8)</ns0:f>
        <ns0:v/>
      </ns0:c>
      <ns0:c r="AG46" s="35" t="str">
        <ns0:f>IF(OR(AF46="",Seeds!$C$10=""),"",IF(ABS(AF46)&gt;Seeds!$C$10,"Có","Không"))</ns0:f>
        <ns0:v/>
      </ns0:c>
    </ns0:row>
    <ns0:row r="47" ht="15" customHeight="1" s="20">
      <ns0:c r="A47" s="33" t="n"/>
      <ns0:c r="B47" s="33" t="n"/>
      <ns0:c r="C47" s="33" t="n"/>
      <ns0:c r="D47" s="33" t="n"/>
      <ns0:c r="E47" s="33" t="n"/>
      <ns0:c r="F47" s="33" t="n"/>
      <ns0:c r="G47" s="33" t="n"/>
      <ns0:c r="H47" s="33" t="n"/>
      <ns0:c r="I47" s="33" t="n"/>
      <ns0:c r="J47" s="33" t="n"/>
      <ns0:c r="K47" s="33" t="n"/>
      <ns0:c r="L47" s="33" t="n"/>
      <ns0:c r="M47" s="33" t="n"/>
      <ns0:c r="N47" s="33" t="n"/>
      <ns0:c r="O47" s="33" t="n"/>
      <ns0:c r="P47" s="34" t="n"/>
      <ns0:c r="Q47" s="34" t="n"/>
      <ns0:c r="R47" s="33" t="n"/>
      <ns0:c r="S47" s="34" t="n"/>
      <ns0:c r="T47" s="34" t="n"/>
      <ns0:c r="U47" s="34" t="n"/>
      <ns0:c r="V47" s="34" t="n"/>
      <ns0:c r="W47" s="33" t="n"/>
      <ns0:c r="X47" s="33" t="n"/>
      <ns0:c r="Y47" s="33" t="n"/>
      <ns0:c r="Z47" s="34" t="n"/>
      <ns0:c r="AA47" s="34" t="n"/>
      <ns0:c r="AB47" s="33" t="n"/>
      <ns0:c r="AC47" s="33" t="n"/>
      <ns0:c r="AD47" s="35" t="str">
        <ns0:f>IF(P47="","",P47-LN(7))</ns0:f>
        <ns0:v/>
      </ns0:c>
      <ns0:c r="AE47" s="35" t="str">
        <ns0:f>IF(OR(T47="",S47=""),"",T47-S47)</ns0:f>
        <ns0:v/>
      </ns0:c>
      <ns0:c r="AF47" s="35" t="str">
        <ns0:f>IF(OR(V47="",Seeds!$C$8=""),"",V47-Seeds!$C$8)</ns0:f>
        <ns0:v/>
      </ns0:c>
      <ns0:c r="AG47" s="35" t="str">
        <ns0:f>IF(OR(AF47="",Seeds!$C$10=""),"",IF(ABS(AF47)&gt;Seeds!$C$10,"Có","Không"))</ns0:f>
        <ns0:v/>
      </ns0:c>
    </ns0:row>
    <ns0:row r="48" ht="15" customHeight="1" s="20">
      <ns0:c r="A48" s="33" t="n"/>
      <ns0:c r="B48" s="33" t="n"/>
      <ns0:c r="C48" s="33" t="n"/>
      <ns0:c r="D48" s="33" t="n"/>
      <ns0:c r="E48" s="33" t="n"/>
      <ns0:c r="F48" s="33" t="n"/>
      <ns0:c r="G48" s="33" t="n"/>
      <ns0:c r="H48" s="33" t="n"/>
      <ns0:c r="I48" s="33" t="n"/>
      <ns0:c r="J48" s="33" t="n"/>
      <ns0:c r="K48" s="33" t="n"/>
      <ns0:c r="L48" s="33" t="n"/>
      <ns0:c r="M48" s="33" t="n"/>
      <ns0:c r="N48" s="33" t="n"/>
      <ns0:c r="O48" s="33" t="n"/>
      <ns0:c r="P48" s="34" t="n"/>
      <ns0:c r="Q48" s="34" t="n"/>
      <ns0:c r="R48" s="33" t="n"/>
      <ns0:c r="S48" s="34" t="n"/>
      <ns0:c r="T48" s="34" t="n"/>
      <ns0:c r="U48" s="34" t="n"/>
      <ns0:c r="V48" s="34" t="n"/>
      <ns0:c r="W48" s="33" t="n"/>
      <ns0:c r="X48" s="33" t="n"/>
      <ns0:c r="Y48" s="33" t="n"/>
      <ns0:c r="Z48" s="34" t="n"/>
      <ns0:c r="AA48" s="34" t="n"/>
      <ns0:c r="AB48" s="33" t="n"/>
      <ns0:c r="AC48" s="33" t="n"/>
      <ns0:c r="AD48" s="35" t="str">
        <ns0:f>IF(P48="","",P48-LN(7))</ns0:f>
        <ns0:v/>
      </ns0:c>
      <ns0:c r="AE48" s="35" t="str">
        <ns0:f>IF(OR(T48="",S48=""),"",T48-S48)</ns0:f>
        <ns0:v/>
      </ns0:c>
      <ns0:c r="AF48" s="35" t="str">
        <ns0:f>IF(OR(V48="",Seeds!$C$8=""),"",V48-Seeds!$C$8)</ns0:f>
        <ns0:v/>
      </ns0:c>
      <ns0:c r="AG48" s="35" t="str">
        <ns0:f>IF(OR(AF48="",Seeds!$C$10=""),"",IF(ABS(AF48)&gt;Seeds!$C$10,"Có","Không"))</ns0:f>
        <ns0:v/>
      </ns0:c>
    </ns0:row>
    <ns0:row r="49" ht="15" customHeight="1" s="20">
      <ns0:c r="A49" s="33" t="n"/>
      <ns0:c r="B49" s="33" t="n"/>
      <ns0:c r="C49" s="33" t="n"/>
      <ns0:c r="D49" s="33" t="n"/>
      <ns0:c r="E49" s="33" t="n"/>
      <ns0:c r="F49" s="33" t="n"/>
      <ns0:c r="G49" s="33" t="n"/>
      <ns0:c r="H49" s="33" t="n"/>
      <ns0:c r="I49" s="33" t="n"/>
      <ns0:c r="J49" s="33" t="n"/>
      <ns0:c r="K49" s="33" t="n"/>
      <ns0:c r="L49" s="33" t="n"/>
      <ns0:c r="M49" s="33" t="n"/>
      <ns0:c r="N49" s="33" t="n"/>
      <ns0:c r="O49" s="33" t="n"/>
      <ns0:c r="P49" s="34" t="n"/>
      <ns0:c r="Q49" s="34" t="n"/>
      <ns0:c r="R49" s="33" t="n"/>
      <ns0:c r="S49" s="34" t="n"/>
      <ns0:c r="T49" s="34" t="n"/>
      <ns0:c r="U49" s="34" t="n"/>
      <ns0:c r="V49" s="34" t="n"/>
      <ns0:c r="W49" s="33" t="n"/>
      <ns0:c r="X49" s="33" t="n"/>
      <ns0:c r="Y49" s="33" t="n"/>
      <ns0:c r="Z49" s="34" t="n"/>
      <ns0:c r="AA49" s="34" t="n"/>
      <ns0:c r="AB49" s="33" t="n"/>
      <ns0:c r="AC49" s="33" t="n"/>
      <ns0:c r="AD49" s="35" t="str">
        <ns0:f>IF(P49="","",P49-LN(7))</ns0:f>
        <ns0:v/>
      </ns0:c>
      <ns0:c r="AE49" s="35" t="str">
        <ns0:f>IF(OR(T49="",S49=""),"",T49-S49)</ns0:f>
        <ns0:v/>
      </ns0:c>
      <ns0:c r="AF49" s="35" t="str">
        <ns0:f>IF(OR(V49="",Seeds!$C$8=""),"",V49-Seeds!$C$8)</ns0:f>
        <ns0:v/>
      </ns0:c>
      <ns0:c r="AG49" s="35" t="str">
        <ns0:f>IF(OR(AF49="",Seeds!$C$10=""),"",IF(ABS(AF49)&gt;Seeds!$C$10,"Có","Không"))</ns0:f>
        <ns0:v/>
      </ns0:c>
    </ns0:row>
    <ns0:row r="50" ht="15" customHeight="1" s="20">
      <ns0:c r="A50" s="33" t="n"/>
      <ns0:c r="B50" s="33" t="n"/>
      <ns0:c r="C50" s="33" t="n"/>
      <ns0:c r="D50" s="33" t="n"/>
      <ns0:c r="E50" s="33" t="n"/>
      <ns0:c r="F50" s="33" t="n"/>
      <ns0:c r="G50" s="33" t="n"/>
      <ns0:c r="H50" s="33" t="n"/>
      <ns0:c r="I50" s="33" t="n"/>
      <ns0:c r="J50" s="33" t="n"/>
      <ns0:c r="K50" s="33" t="n"/>
      <ns0:c r="L50" s="33" t="n"/>
      <ns0:c r="M50" s="33" t="n"/>
      <ns0:c r="N50" s="33" t="n"/>
      <ns0:c r="O50" s="33" t="n"/>
      <ns0:c r="P50" s="34" t="n"/>
      <ns0:c r="Q50" s="34" t="n"/>
      <ns0:c r="R50" s="33" t="n"/>
      <ns0:c r="S50" s="34" t="n"/>
      <ns0:c r="T50" s="34" t="n"/>
      <ns0:c r="U50" s="34" t="n"/>
      <ns0:c r="V50" s="34" t="n"/>
      <ns0:c r="W50" s="33" t="n"/>
      <ns0:c r="X50" s="33" t="n"/>
      <ns0:c r="Y50" s="33" t="n"/>
      <ns0:c r="Z50" s="34" t="n"/>
      <ns0:c r="AA50" s="34" t="n"/>
      <ns0:c r="AB50" s="33" t="n"/>
      <ns0:c r="AC50" s="33" t="n"/>
      <ns0:c r="AD50" s="35" t="str">
        <ns0:f>IF(P50="","",P50-LN(7))</ns0:f>
        <ns0:v/>
      </ns0:c>
      <ns0:c r="AE50" s="35" t="str">
        <ns0:f>IF(OR(T50="",S50=""),"",T50-S50)</ns0:f>
        <ns0:v/>
      </ns0:c>
      <ns0:c r="AF50" s="35" t="str">
        <ns0:f>IF(OR(V50="",Seeds!$C$8=""),"",V50-Seeds!$C$8)</ns0:f>
        <ns0:v/>
      </ns0:c>
      <ns0:c r="AG50" s="35" t="str">
        <ns0:f>IF(OR(AF50="",Seeds!$C$10=""),"",IF(ABS(AF50)&gt;Seeds!$C$10,"Có","Không"))</ns0:f>
        <ns0:v/>
      </ns0:c>
    </ns0:row>
    <ns0:row r="51" ht="15" customHeight="1" s="20">
      <ns0:c r="A51" s="33" t="n"/>
      <ns0:c r="B51" s="33" t="n"/>
      <ns0:c r="C51" s="33" t="n"/>
      <ns0:c r="D51" s="33" t="n"/>
      <ns0:c r="E51" s="33" t="n"/>
      <ns0:c r="F51" s="33" t="n"/>
      <ns0:c r="G51" s="33" t="n"/>
      <ns0:c r="H51" s="33" t="n"/>
      <ns0:c r="I51" s="33" t="n"/>
      <ns0:c r="J51" s="33" t="n"/>
      <ns0:c r="K51" s="33" t="n"/>
      <ns0:c r="L51" s="33" t="n"/>
      <ns0:c r="M51" s="33" t="n"/>
      <ns0:c r="N51" s="33" t="n"/>
      <ns0:c r="O51" s="33" t="n"/>
      <ns0:c r="P51" s="34" t="n"/>
      <ns0:c r="Q51" s="34" t="n"/>
      <ns0:c r="R51" s="33" t="n"/>
      <ns0:c r="S51" s="34" t="n"/>
      <ns0:c r="T51" s="34" t="n"/>
      <ns0:c r="U51" s="34" t="n"/>
      <ns0:c r="V51" s="34" t="n"/>
      <ns0:c r="W51" s="33" t="n"/>
      <ns0:c r="X51" s="33" t="n"/>
      <ns0:c r="Y51" s="33" t="n"/>
      <ns0:c r="Z51" s="34" t="n"/>
      <ns0:c r="AA51" s="34" t="n"/>
      <ns0:c r="AB51" s="33" t="n"/>
      <ns0:c r="AC51" s="33" t="n"/>
      <ns0:c r="AD51" s="35" t="str">
        <ns0:f>IF(P51="","",P51-LN(7))</ns0:f>
        <ns0:v/>
      </ns0:c>
      <ns0:c r="AE51" s="35" t="str">
        <ns0:f>IF(OR(T51="",S51=""),"",T51-S51)</ns0:f>
        <ns0:v/>
      </ns0:c>
      <ns0:c r="AF51" s="35" t="str">
        <ns0:f>IF(OR(V51="",Seeds!$C$8=""),"",V51-Seeds!$C$8)</ns0:f>
        <ns0:v/>
      </ns0:c>
      <ns0:c r="AG51" s="35" t="str">
        <ns0:f>IF(OR(AF51="",Seeds!$C$10=""),"",IF(ABS(AF51)&gt;Seeds!$C$10,"Có","Không"))</ns0:f>
        <ns0:v/>
      </ns0:c>
    </ns0:row>
    <ns0:row r="52" ht="15" customHeight="1" s="20">
      <ns0:c r="A52" s="33" t="n"/>
      <ns0:c r="B52" s="33" t="n"/>
      <ns0:c r="C52" s="33" t="n"/>
      <ns0:c r="D52" s="33" t="n"/>
      <ns0:c r="E52" s="33" t="n"/>
      <ns0:c r="F52" s="33" t="n"/>
      <ns0:c r="G52" s="33" t="n"/>
      <ns0:c r="H52" s="33" t="n"/>
      <ns0:c r="I52" s="33" t="n"/>
      <ns0:c r="J52" s="33" t="n"/>
      <ns0:c r="K52" s="33" t="n"/>
      <ns0:c r="L52" s="33" t="n"/>
      <ns0:c r="M52" s="33" t="n"/>
      <ns0:c r="N52" s="33" t="n"/>
      <ns0:c r="O52" s="33" t="n"/>
      <ns0:c r="P52" s="34" t="n"/>
      <ns0:c r="Q52" s="34" t="n"/>
      <ns0:c r="R52" s="33" t="n"/>
      <ns0:c r="S52" s="34" t="n"/>
      <ns0:c r="T52" s="34" t="n"/>
      <ns0:c r="U52" s="34" t="n"/>
      <ns0:c r="V52" s="34" t="n"/>
      <ns0:c r="W52" s="33" t="n"/>
      <ns0:c r="X52" s="33" t="n"/>
      <ns0:c r="Y52" s="33" t="n"/>
      <ns0:c r="Z52" s="34" t="n"/>
      <ns0:c r="AA52" s="34" t="n"/>
      <ns0:c r="AB52" s="33" t="n"/>
      <ns0:c r="AC52" s="33" t="n"/>
      <ns0:c r="AD52" s="35" t="str">
        <ns0:f>IF(P52="","",P52-LN(7))</ns0:f>
        <ns0:v/>
      </ns0:c>
      <ns0:c r="AE52" s="35" t="str">
        <ns0:f>IF(OR(T52="",S52=""),"",T52-S52)</ns0:f>
        <ns0:v/>
      </ns0:c>
      <ns0:c r="AF52" s="35" t="str">
        <ns0:f>IF(OR(V52="",Seeds!$C$8=""),"",V52-Seeds!$C$8)</ns0:f>
        <ns0:v/>
      </ns0:c>
      <ns0:c r="AG52" s="35" t="str">
        <ns0:f>IF(OR(AF52="",Seeds!$C$10=""),"",IF(ABS(AF52)&gt;Seeds!$C$10,"Có","Không"))</ns0:f>
        <ns0:v/>
      </ns0:c>
    </ns0:row>
    <ns0:row r="53" ht="15" customHeight="1" s="20">
      <ns0:c r="A53" s="33" t="n"/>
      <ns0:c r="B53" s="33" t="n"/>
      <ns0:c r="C53" s="33" t="n"/>
      <ns0:c r="D53" s="33" t="n"/>
      <ns0:c r="E53" s="33" t="n"/>
      <ns0:c r="F53" s="33" t="n"/>
      <ns0:c r="G53" s="33" t="n"/>
      <ns0:c r="H53" s="33" t="n"/>
      <ns0:c r="I53" s="33" t="n"/>
      <ns0:c r="J53" s="33" t="n"/>
      <ns0:c r="K53" s="33" t="n"/>
      <ns0:c r="L53" s="33" t="n"/>
      <ns0:c r="M53" s="33" t="n"/>
      <ns0:c r="N53" s="33" t="n"/>
      <ns0:c r="O53" s="33" t="n"/>
      <ns0:c r="P53" s="34" t="n"/>
      <ns0:c r="Q53" s="34" t="n"/>
      <ns0:c r="R53" s="33" t="n"/>
      <ns0:c r="S53" s="34" t="n"/>
      <ns0:c r="T53" s="34" t="n"/>
      <ns0:c r="U53" s="34" t="n"/>
      <ns0:c r="V53" s="34" t="n"/>
      <ns0:c r="W53" s="33" t="n"/>
      <ns0:c r="X53" s="33" t="n"/>
      <ns0:c r="Y53" s="33" t="n"/>
      <ns0:c r="Z53" s="34" t="n"/>
      <ns0:c r="AA53" s="34" t="n"/>
      <ns0:c r="AB53" s="33" t="n"/>
      <ns0:c r="AC53" s="33" t="n"/>
      <ns0:c r="AD53" s="35" t="str">
        <ns0:f>IF(P53="","",P53-LN(7))</ns0:f>
        <ns0:v/>
      </ns0:c>
      <ns0:c r="AE53" s="35" t="str">
        <ns0:f>IF(OR(T53="",S53=""),"",T53-S53)</ns0:f>
        <ns0:v/>
      </ns0:c>
      <ns0:c r="AF53" s="35" t="str">
        <ns0:f>IF(OR(V53="",Seeds!$C$8=""),"",V53-Seeds!$C$8)</ns0:f>
        <ns0:v/>
      </ns0:c>
      <ns0:c r="AG53" s="35" t="str">
        <ns0:f>IF(OR(AF53="",Seeds!$C$10=""),"",IF(ABS(AF53)&gt;Seeds!$C$10,"Có","Không"))</ns0:f>
        <ns0:v/>
      </ns0:c>
    </ns0:row>
    <ns0:row r="54" ht="15" customHeight="1" s="20">
      <ns0:c r="A54" s="33" t="n"/>
      <ns0:c r="B54" s="33" t="n"/>
      <ns0:c r="C54" s="33" t="n"/>
      <ns0:c r="D54" s="33" t="n"/>
      <ns0:c r="E54" s="33" t="n"/>
      <ns0:c r="F54" s="33" t="n"/>
      <ns0:c r="G54" s="33" t="n"/>
      <ns0:c r="H54" s="33" t="n"/>
      <ns0:c r="I54" s="33" t="n"/>
      <ns0:c r="J54" s="33" t="n"/>
      <ns0:c r="K54" s="33" t="n"/>
      <ns0:c r="L54" s="33" t="n"/>
      <ns0:c r="M54" s="33" t="n"/>
      <ns0:c r="N54" s="33" t="n"/>
      <ns0:c r="O54" s="33" t="n"/>
      <ns0:c r="P54" s="34" t="n"/>
      <ns0:c r="Q54" s="34" t="n"/>
      <ns0:c r="R54" s="33" t="n"/>
      <ns0:c r="S54" s="34" t="n"/>
      <ns0:c r="T54" s="34" t="n"/>
      <ns0:c r="U54" s="34" t="n"/>
      <ns0:c r="V54" s="34" t="n"/>
      <ns0:c r="W54" s="33" t="n"/>
      <ns0:c r="X54" s="33" t="n"/>
      <ns0:c r="Y54" s="33" t="n"/>
      <ns0:c r="Z54" s="34" t="n"/>
      <ns0:c r="AA54" s="34" t="n"/>
      <ns0:c r="AB54" s="33" t="n"/>
      <ns0:c r="AC54" s="33" t="n"/>
      <ns0:c r="AD54" s="35" t="str">
        <ns0:f>IF(P54="","",P54-LN(7))</ns0:f>
        <ns0:v/>
      </ns0:c>
      <ns0:c r="AE54" s="35" t="str">
        <ns0:f>IF(OR(T54="",S54=""),"",T54-S54)</ns0:f>
        <ns0:v/>
      </ns0:c>
      <ns0:c r="AF54" s="35" t="str">
        <ns0:f>IF(OR(V54="",Seeds!$C$8=""),"",V54-Seeds!$C$8)</ns0:f>
        <ns0:v/>
      </ns0:c>
      <ns0:c r="AG54" s="35" t="str">
        <ns0:f>IF(OR(AF54="",Seeds!$C$10=""),"",IF(ABS(AF54)&gt;Seeds!$C$10,"Có","Không"))</ns0:f>
        <ns0:v/>
      </ns0:c>
    </ns0:row>
    <ns0:row r="55" ht="15" customHeight="1" s="20">
      <ns0:c r="A55" s="33" t="n"/>
      <ns0:c r="B55" s="33" t="n"/>
      <ns0:c r="C55" s="33" t="n"/>
      <ns0:c r="D55" s="33" t="n"/>
      <ns0:c r="E55" s="33" t="n"/>
      <ns0:c r="F55" s="33" t="n"/>
      <ns0:c r="G55" s="33" t="n"/>
      <ns0:c r="H55" s="33" t="n"/>
      <ns0:c r="I55" s="33" t="n"/>
      <ns0:c r="J55" s="33" t="n"/>
      <ns0:c r="K55" s="33" t="n"/>
      <ns0:c r="L55" s="33" t="n"/>
      <ns0:c r="M55" s="33" t="n"/>
      <ns0:c r="N55" s="33" t="n"/>
      <ns0:c r="O55" s="33" t="n"/>
      <ns0:c r="P55" s="34" t="n"/>
      <ns0:c r="Q55" s="34" t="n"/>
      <ns0:c r="R55" s="33" t="n"/>
      <ns0:c r="S55" s="34" t="n"/>
      <ns0:c r="T55" s="34" t="n"/>
      <ns0:c r="U55" s="34" t="n"/>
      <ns0:c r="V55" s="34" t="n"/>
      <ns0:c r="W55" s="33" t="n"/>
      <ns0:c r="X55" s="33" t="n"/>
      <ns0:c r="Y55" s="33" t="n"/>
      <ns0:c r="Z55" s="34" t="n"/>
      <ns0:c r="AA55" s="34" t="n"/>
      <ns0:c r="AB55" s="33" t="n"/>
      <ns0:c r="AC55" s="33" t="n"/>
      <ns0:c r="AD55" s="35" t="str">
        <ns0:f>IF(P55="","",P55-LN(7))</ns0:f>
        <ns0:v/>
      </ns0:c>
      <ns0:c r="AE55" s="35" t="str">
        <ns0:f>IF(OR(T55="",S55=""),"",T55-S55)</ns0:f>
        <ns0:v/>
      </ns0:c>
      <ns0:c r="AF55" s="35" t="str">
        <ns0:f>IF(OR(V55="",Seeds!$C$8=""),"",V55-Seeds!$C$8)</ns0:f>
        <ns0:v/>
      </ns0:c>
      <ns0:c r="AG55" s="35" t="str">
        <ns0:f>IF(OR(AF55="",Seeds!$C$10=""),"",IF(ABS(AF55)&gt;Seeds!$C$10,"Có","Không"))</ns0:f>
        <ns0:v/>
      </ns0:c>
    </ns0:row>
    <ns0:row r="56" ht="15" customHeight="1" s="20">
      <ns0:c r="A56" s="33" t="n"/>
      <ns0:c r="B56" s="33" t="n"/>
      <ns0:c r="C56" s="33" t="n"/>
      <ns0:c r="D56" s="33" t="n"/>
      <ns0:c r="E56" s="33" t="n"/>
      <ns0:c r="F56" s="33" t="n"/>
      <ns0:c r="G56" s="33" t="n"/>
      <ns0:c r="H56" s="33" t="n"/>
      <ns0:c r="I56" s="33" t="n"/>
      <ns0:c r="J56" s="33" t="n"/>
      <ns0:c r="K56" s="33" t="n"/>
      <ns0:c r="L56" s="33" t="n"/>
      <ns0:c r="M56" s="33" t="n"/>
      <ns0:c r="N56" s="33" t="n"/>
      <ns0:c r="O56" s="33" t="n"/>
      <ns0:c r="P56" s="34" t="n"/>
      <ns0:c r="Q56" s="34" t="n"/>
      <ns0:c r="R56" s="33" t="n"/>
      <ns0:c r="S56" s="34" t="n"/>
      <ns0:c r="T56" s="34" t="n"/>
      <ns0:c r="U56" s="34" t="n"/>
      <ns0:c r="V56" s="34" t="n"/>
      <ns0:c r="W56" s="33" t="n"/>
      <ns0:c r="X56" s="33" t="n"/>
      <ns0:c r="Y56" s="33" t="n"/>
      <ns0:c r="Z56" s="34" t="n"/>
      <ns0:c r="AA56" s="34" t="n"/>
      <ns0:c r="AB56" s="33" t="n"/>
      <ns0:c r="AC56" s="33" t="n"/>
      <ns0:c r="AD56" s="35" t="str">
        <ns0:f>IF(P56="","",P56-LN(7))</ns0:f>
        <ns0:v/>
      </ns0:c>
      <ns0:c r="AE56" s="35" t="str">
        <ns0:f>IF(OR(T56="",S56=""),"",T56-S56)</ns0:f>
        <ns0:v/>
      </ns0:c>
      <ns0:c r="AF56" s="35" t="str">
        <ns0:f>IF(OR(V56="",Seeds!$C$8=""),"",V56-Seeds!$C$8)</ns0:f>
        <ns0:v/>
      </ns0:c>
      <ns0:c r="AG56" s="35" t="str">
        <ns0:f>IF(OR(AF56="",Seeds!$C$10=""),"",IF(ABS(AF56)&gt;Seeds!$C$10,"Có","Không"))</ns0:f>
        <ns0:v/>
      </ns0:c>
    </ns0:row>
    <ns0:row r="57" ht="15" customHeight="1" s="20">
      <ns0:c r="A57" s="33" t="n"/>
      <ns0:c r="B57" s="33" t="n"/>
      <ns0:c r="C57" s="33" t="n"/>
      <ns0:c r="D57" s="33" t="n"/>
      <ns0:c r="E57" s="33" t="n"/>
      <ns0:c r="F57" s="33" t="n"/>
      <ns0:c r="G57" s="33" t="n"/>
      <ns0:c r="H57" s="33" t="n"/>
      <ns0:c r="I57" s="33" t="n"/>
      <ns0:c r="J57" s="33" t="n"/>
      <ns0:c r="K57" s="33" t="n"/>
      <ns0:c r="L57" s="33" t="n"/>
      <ns0:c r="M57" s="33" t="n"/>
      <ns0:c r="N57" s="33" t="n"/>
      <ns0:c r="O57" s="33" t="n"/>
      <ns0:c r="P57" s="34" t="n"/>
      <ns0:c r="Q57" s="34" t="n"/>
      <ns0:c r="R57" s="33" t="n"/>
      <ns0:c r="S57" s="34" t="n"/>
      <ns0:c r="T57" s="34" t="n"/>
      <ns0:c r="U57" s="34" t="n"/>
      <ns0:c r="V57" s="34" t="n"/>
      <ns0:c r="W57" s="33" t="n"/>
      <ns0:c r="X57" s="33" t="n"/>
      <ns0:c r="Y57" s="33" t="n"/>
      <ns0:c r="Z57" s="34" t="n"/>
      <ns0:c r="AA57" s="34" t="n"/>
      <ns0:c r="AB57" s="33" t="n"/>
      <ns0:c r="AC57" s="33" t="n"/>
      <ns0:c r="AD57" s="35" t="str">
        <ns0:f>IF(P57="","",P57-LN(7))</ns0:f>
        <ns0:v/>
      </ns0:c>
      <ns0:c r="AE57" s="35" t="str">
        <ns0:f>IF(OR(T57="",S57=""),"",T57-S57)</ns0:f>
        <ns0:v/>
      </ns0:c>
      <ns0:c r="AF57" s="35" t="str">
        <ns0:f>IF(OR(V57="",Seeds!$C$8=""),"",V57-Seeds!$C$8)</ns0:f>
        <ns0:v/>
      </ns0:c>
      <ns0:c r="AG57" s="35" t="str">
        <ns0:f>IF(OR(AF57="",Seeds!$C$10=""),"",IF(ABS(AF57)&gt;Seeds!$C$10,"Có","Không"))</ns0:f>
        <ns0:v/>
      </ns0:c>
    </ns0:row>
    <ns0:row r="58" ht="15" customHeight="1" s="20">
      <ns0:c r="A58" s="33" t="n"/>
      <ns0:c r="B58" s="33" t="n"/>
      <ns0:c r="C58" s="33" t="n"/>
      <ns0:c r="D58" s="33" t="n"/>
      <ns0:c r="E58" s="33" t="n"/>
      <ns0:c r="F58" s="33" t="n"/>
      <ns0:c r="G58" s="33" t="n"/>
      <ns0:c r="H58" s="33" t="n"/>
      <ns0:c r="I58" s="33" t="n"/>
      <ns0:c r="J58" s="33" t="n"/>
      <ns0:c r="K58" s="33" t="n"/>
      <ns0:c r="L58" s="33" t="n"/>
      <ns0:c r="M58" s="33" t="n"/>
      <ns0:c r="N58" s="33" t="n"/>
      <ns0:c r="O58" s="33" t="n"/>
      <ns0:c r="P58" s="34" t="n"/>
      <ns0:c r="Q58" s="34" t="n"/>
      <ns0:c r="R58" s="33" t="n"/>
      <ns0:c r="S58" s="34" t="n"/>
      <ns0:c r="T58" s="34" t="n"/>
      <ns0:c r="U58" s="34" t="n"/>
      <ns0:c r="V58" s="34" t="n"/>
      <ns0:c r="W58" s="33" t="n"/>
      <ns0:c r="X58" s="33" t="n"/>
      <ns0:c r="Y58" s="33" t="n"/>
      <ns0:c r="Z58" s="34" t="n"/>
      <ns0:c r="AA58" s="34" t="n"/>
      <ns0:c r="AB58" s="33" t="n"/>
      <ns0:c r="AC58" s="33" t="n"/>
      <ns0:c r="AD58" s="35" t="str">
        <ns0:f>IF(P58="","",P58-LN(7))</ns0:f>
        <ns0:v/>
      </ns0:c>
      <ns0:c r="AE58" s="35" t="str">
        <ns0:f>IF(OR(T58="",S58=""),"",T58-S58)</ns0:f>
        <ns0:v/>
      </ns0:c>
      <ns0:c r="AF58" s="35" t="str">
        <ns0:f>IF(OR(V58="",Seeds!$C$8=""),"",V58-Seeds!$C$8)</ns0:f>
        <ns0:v/>
      </ns0:c>
      <ns0:c r="AG58" s="35" t="str">
        <ns0:f>IF(OR(AF58="",Seeds!$C$10=""),"",IF(ABS(AF58)&gt;Seeds!$C$10,"Có","Không"))</ns0:f>
        <ns0:v/>
      </ns0:c>
    </ns0:row>
    <ns0:row r="59" ht="15" customHeight="1" s="20">
      <ns0:c r="A59" s="33" t="n"/>
      <ns0:c r="B59" s="33" t="n"/>
      <ns0:c r="C59" s="33" t="n"/>
      <ns0:c r="D59" s="33" t="n"/>
      <ns0:c r="E59" s="33" t="n"/>
      <ns0:c r="F59" s="33" t="n"/>
      <ns0:c r="G59" s="33" t="n"/>
      <ns0:c r="H59" s="33" t="n"/>
      <ns0:c r="I59" s="33" t="n"/>
      <ns0:c r="J59" s="33" t="n"/>
      <ns0:c r="K59" s="33" t="n"/>
      <ns0:c r="L59" s="33" t="n"/>
      <ns0:c r="M59" s="33" t="n"/>
      <ns0:c r="N59" s="33" t="n"/>
      <ns0:c r="O59" s="33" t="n"/>
      <ns0:c r="P59" s="34" t="n"/>
      <ns0:c r="Q59" s="34" t="n"/>
      <ns0:c r="R59" s="33" t="n"/>
      <ns0:c r="S59" s="34" t="n"/>
      <ns0:c r="T59" s="34" t="n"/>
      <ns0:c r="U59" s="34" t="n"/>
      <ns0:c r="V59" s="34" t="n"/>
      <ns0:c r="W59" s="33" t="n"/>
      <ns0:c r="X59" s="33" t="n"/>
      <ns0:c r="Y59" s="33" t="n"/>
      <ns0:c r="Z59" s="34" t="n"/>
      <ns0:c r="AA59" s="34" t="n"/>
      <ns0:c r="AB59" s="33" t="n"/>
      <ns0:c r="AC59" s="33" t="n"/>
      <ns0:c r="AD59" s="35" t="str">
        <ns0:f>IF(P59="","",P59-LN(7))</ns0:f>
        <ns0:v/>
      </ns0:c>
      <ns0:c r="AE59" s="35" t="str">
        <ns0:f>IF(OR(T59="",S59=""),"",T59-S59)</ns0:f>
        <ns0:v/>
      </ns0:c>
      <ns0:c r="AF59" s="35" t="str">
        <ns0:f>IF(OR(V59="",Seeds!$C$8=""),"",V59-Seeds!$C$8)</ns0:f>
        <ns0:v/>
      </ns0:c>
      <ns0:c r="AG59" s="35" t="str">
        <ns0:f>IF(OR(AF59="",Seeds!$C$10=""),"",IF(ABS(AF59)&gt;Seeds!$C$10,"Có","Không"))</ns0:f>
        <ns0:v/>
      </ns0:c>
    </ns0:row>
    <ns0:row r="60" ht="15" customHeight="1" s="20">
      <ns0:c r="A60" s="33" t="n"/>
      <ns0:c r="B60" s="33" t="n"/>
      <ns0:c r="C60" s="33" t="n"/>
      <ns0:c r="D60" s="33" t="n"/>
      <ns0:c r="E60" s="33" t="n"/>
      <ns0:c r="F60" s="33" t="n"/>
      <ns0:c r="G60" s="33" t="n"/>
      <ns0:c r="H60" s="33" t="n"/>
      <ns0:c r="I60" s="33" t="n"/>
      <ns0:c r="J60" s="33" t="n"/>
      <ns0:c r="K60" s="33" t="n"/>
      <ns0:c r="L60" s="33" t="n"/>
      <ns0:c r="M60" s="33" t="n"/>
      <ns0:c r="N60" s="33" t="n"/>
      <ns0:c r="O60" s="33" t="n"/>
      <ns0:c r="P60" s="34" t="n"/>
      <ns0:c r="Q60" s="34" t="n"/>
      <ns0:c r="R60" s="33" t="n"/>
      <ns0:c r="S60" s="34" t="n"/>
      <ns0:c r="T60" s="34" t="n"/>
      <ns0:c r="U60" s="34" t="n"/>
      <ns0:c r="V60" s="34" t="n"/>
      <ns0:c r="W60" s="33" t="n"/>
      <ns0:c r="X60" s="33" t="n"/>
      <ns0:c r="Y60" s="33" t="n"/>
      <ns0:c r="Z60" s="34" t="n"/>
      <ns0:c r="AA60" s="34" t="n"/>
      <ns0:c r="AB60" s="33" t="n"/>
      <ns0:c r="AC60" s="33" t="n"/>
      <ns0:c r="AD60" s="35" t="str">
        <ns0:f>IF(P60="","",P60-LN(7))</ns0:f>
        <ns0:v/>
      </ns0:c>
      <ns0:c r="AE60" s="35" t="str">
        <ns0:f>IF(OR(T60="",S60=""),"",T60-S60)</ns0:f>
        <ns0:v/>
      </ns0:c>
      <ns0:c r="AF60" s="35" t="str">
        <ns0:f>IF(OR(V60="",Seeds!$C$8=""),"",V60-Seeds!$C$8)</ns0:f>
        <ns0:v/>
      </ns0:c>
      <ns0:c r="AG60" s="35" t="str">
        <ns0:f>IF(OR(AF60="",Seeds!$C$10=""),"",IF(ABS(AF60)&gt;Seeds!$C$10,"Có","Không"))</ns0:f>
        <ns0:v/>
      </ns0:c>
    </ns0:row>
    <ns0:row r="61" ht="15" customHeight="1" s="20">
      <ns0:c r="A61" s="33" t="n"/>
      <ns0:c r="B61" s="33" t="n"/>
      <ns0:c r="C61" s="33" t="n"/>
      <ns0:c r="D61" s="33" t="n"/>
      <ns0:c r="E61" s="33" t="n"/>
      <ns0:c r="F61" s="33" t="n"/>
      <ns0:c r="G61" s="33" t="n"/>
      <ns0:c r="H61" s="33" t="n"/>
      <ns0:c r="I61" s="33" t="n"/>
      <ns0:c r="J61" s="33" t="n"/>
      <ns0:c r="K61" s="33" t="n"/>
      <ns0:c r="L61" s="33" t="n"/>
      <ns0:c r="M61" s="33" t="n"/>
      <ns0:c r="N61" s="33" t="n"/>
      <ns0:c r="O61" s="33" t="n"/>
      <ns0:c r="P61" s="34" t="n"/>
      <ns0:c r="Q61" s="34" t="n"/>
      <ns0:c r="R61" s="33" t="n"/>
      <ns0:c r="S61" s="34" t="n"/>
      <ns0:c r="T61" s="34" t="n"/>
      <ns0:c r="U61" s="34" t="n"/>
      <ns0:c r="V61" s="34" t="n"/>
      <ns0:c r="W61" s="33" t="n"/>
      <ns0:c r="X61" s="33" t="n"/>
      <ns0:c r="Y61" s="33" t="n"/>
      <ns0:c r="Z61" s="34" t="n"/>
      <ns0:c r="AA61" s="34" t="n"/>
      <ns0:c r="AB61" s="33" t="n"/>
      <ns0:c r="AC61" s="33" t="n"/>
      <ns0:c r="AD61" s="35" t="str">
        <ns0:f>IF(P61="","",P61-LN(7))</ns0:f>
        <ns0:v/>
      </ns0:c>
      <ns0:c r="AE61" s="35" t="str">
        <ns0:f>IF(OR(T61="",S61=""),"",T61-S61)</ns0:f>
        <ns0:v/>
      </ns0:c>
      <ns0:c r="AF61" s="35" t="str">
        <ns0:f>IF(OR(V61="",Seeds!$C$8=""),"",V61-Seeds!$C$8)</ns0:f>
        <ns0:v/>
      </ns0:c>
      <ns0:c r="AG61" s="35" t="str">
        <ns0:f>IF(OR(AF61="",Seeds!$C$10=""),"",IF(ABS(AF61)&gt;Seeds!$C$10,"Có","Không"))</ns0:f>
        <ns0:v/>
      </ns0:c>
    </ns0:row>
  </ns0:sheetData>
  <ns0:autoFilter ref="A1:AG61"/>
  <ns0:dataValidations count="6">
    <ns0:dataValidation sqref="B2:B61" showDropDown="0" showInputMessage="0" showErrorMessage="0" allowBlank="1" type="list" errorStyle="stop" operator="between">
      <ns0:formula1>"baseline,loss,optimizer,hparam,dropout,clipping,amp,init,final,other"</ns0:formula1>
      <ns0:formula2>0</ns0:formula2>
    </ns0:dataValidation>
    <ns0:dataValidation sqref="D2:D61" showDropDown="0" showInputMessage="0" showErrorMessage="0" allowBlank="1" type="list" errorStyle="stop" operator="between">
      <ns0:formula1>"CE,MSE"</ns0:formula1>
      <ns0:formula2>0</ns0:formula2>
    </ns0:dataValidation>
    <ns0:dataValidation sqref="E2:E61" showDropDown="0" showInputMessage="0" showErrorMessage="0" allowBlank="1" type="list" errorStyle="stop" operator="between">
      <ns0:formula1>"SGD,SGD+momentum,Adam,AdamW"</ns0:formula1>
      <ns0:formula2>0</ns0:formula2>
    </ns0:dataValidation>
    <ns0:dataValidation sqref="M2:M61" showDropDown="0" showInputMessage="0" showErrorMessage="0" allowBlank="1" type="list" errorStyle="stop" operator="between">
      <ns0:formula1>"fp32,fp16,bf16"</ns0:formula1>
      <ns0:formula2>0</ns0:formula2>
    </ns0:dataValidation>
    <ns0:dataValidation sqref="N2:N61" showDropDown="0" showInputMessage="0" showErrorMessage="0" allowBlank="1" type="list" errorStyle="stop" operator="between">
      <ns0:formula1>"zeros,normal,xavier,he,default"</ns0:formula1>
      <ns0:formula2>0</ns0:formula2>
    </ns0:dataValidation>
    <ns0:dataValidation sqref="Y2:Y61" showDropDown="0" showInputMessage="0" showErrorMessage="0" allowBlank="1" type="list" errorStyle="stop" operator="between">
      <ns0:formula1>"Y,N"</ns0:formula1>
      <ns0:formula2>0</ns0:formula2>
    </ns0:dataValidation>
  </ns0:dataValidations>
  <ns0:printOptions horizontalCentered="0" verticalCentered="0" headings="0" gridLines="0" gridLinesSet="1"/>
  <ns0:pageMargins left="0.75" right="0.75" top="1" bottom="1" header="0.511811023622047" footer="0.511811023622047"/>
  <ns0:pageSetup orientation="portrait" paperSize="9" scale="100" fitToHeight="1" fitToWidth="1" pageOrder="downThenOver" blackAndWhite="0" draft="0" horizontalDpi="300" verticalDpi="300" copies="1"/>
</ns0:worksheet>
</file>

<file path=xl/worksheets/sheet3.xml><?xml version="1.0" encoding="utf-8"?>
<ns0:worksheet xmlns:ns0="http://schemas.openxmlformats.org/spreadsheetml/2006/main">
  <ns0:sheetPr filterMode="0">
    <ns0:outlinePr summaryBelow="1" summaryRight="1"/>
    <ns0:pageSetUpPr fitToPage="0"/>
  </ns0:sheetPr>
  <ns0:dimension ref="A1:D13"/>
  <ns0:sheetViews>
    <ns0: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ns0:selection pane="topLeft" activeCell="A1" activeCellId="0" sqref="A1"/>
    </ns0:sheetView>
  </ns0:sheetViews>
  <ns0:sheetFormatPr baseColWidth="8" defaultColWidth="8.6796875" defaultRowHeight="15" customHeight="0" zeroHeight="0" outlineLevelRow="0"/>
  <ns0:cols>
    <ns0:col width="26" customWidth="1" style="19" min="1" max="1"/>
    <ns0:col width="16" customWidth="1" style="19" min="2" max="4"/>
  </ns0:cols>
  <ns0:sheetData>
    <ns0:row r="1" ht="30" customHeight="1" s="20">
      <ns0:c r="A1" s="27" t="inlineStr">
        <ns0:is>
          <ns0:t>exp_id baseline (nhập)</ns0:t>
        </ns0:is>
      </ns0:c>
      <ns0:c r="B1" s="27" t="inlineStr">
        <ns0:is>
          <ns0:t>val_acc</ns0:t>
        </ns0:is>
      </ns0:c>
      <ns0:c r="C1" s="27" t="inlineStr">
        <ns0:is>
          <ns0:t>val_macro_f1</ns0:t>
        </ns0:is>
      </ns0:c>
      <ns0:c r="D1" s="27" t="inlineStr">
        <ns0:is>
          <ns0:t>best_val_loss</ns0:t>
        </ns0:is>
      </ns0:c>
    </ns0:row>
    <ns0:row r="2" ht="15" customHeight="1" s="20">
      <ns0:c r="A2" s="32" t="inlineStr">
        <ns0:is>
          <ns0:t>base-s1</ns0:t>
        </ns0:is>
      </ns0:c>
      <ns0:c r="B2" s="35">
        <ns0:f>IF($A2="","",IFERROR(IF(INDEX(Experiments!$U$2:$U$61,MATCH($A2,Experiments!$A$2:$A$61,0))="","",INDEX(Experiments!$U$2:$U$61,MATCH($A2,Experiments!$A$2:$A$61,0))),""))</ns0:f>
        <ns0:v>0.9001097222521031</ns0:v>
      </ns0:c>
      <ns0:c r="C2" s="35">
        <ns0:f>IF($A2="","",IFERROR(IF(INDEX(Experiments!$V$2:$V$61,MATCH($A2,Experiments!$A$2:$A$61,0))="","",INDEX(Experiments!$V$2:$V$61,MATCH($A2,Experiments!$A$2:$A$61,0))),""))</ns0:f>
        <ns0:v>0.8349256128244456</ns0:v>
      </ns0:c>
      <ns0:c r="D2" s="35">
        <ns0:f>IF($A2="","",IFERROR(IF(INDEX(Experiments!$Q$2:$Q$61,MATCH($A2,Experiments!$A$2:$A$61,0))="","",INDEX(Experiments!$Q$2:$Q$61,MATCH($A2,Experiments!$A$2:$A$61,0))),""))</ns0:f>
        <ns0:v>0.2467650473117828</ns0:v>
      </ns0:c>
    </ns0:row>
    <ns0:row r="3" ht="15" customHeight="1" s="20">
      <ns0:c r="A3" s="32" t="inlineStr">
        <ns0:is>
          <ns0:t>base-s2</ns0:t>
        </ns0:is>
      </ns0:c>
      <ns0:c r="B3" s="35">
        <ns0:f>IF($A3="","",IFERROR(IF(INDEX(Experiments!$U$2:$U$61,MATCH($A3,Experiments!$A$2:$A$61,0))="","",INDEX(Experiments!$U$2:$U$61,MATCH($A3,Experiments!$A$2:$A$61,0))),""))</ns0:f>
        <ns0:v>0.8967535121877757</ns0:v>
      </ns0:c>
      <ns0:c r="C3" s="35">
        <ns0:f>IF($A3="","",IFERROR(IF(INDEX(Experiments!$V$2:$V$61,MATCH($A3,Experiments!$A$2:$A$61,0))="","",INDEX(Experiments!$V$2:$V$61,MATCH($A3,Experiments!$A$2:$A$61,0))),""))</ns0:f>
        <ns0:v>0.8323791641845902</ns0:v>
      </ns0:c>
      <ns0:c r="D3" s="35">
        <ns0:f>IF($A3="","",IFERROR(IF(INDEX(Experiments!$Q$2:$Q$61,MATCH($A3,Experiments!$A$2:$A$61,0))="","",INDEX(Experiments!$Q$2:$Q$61,MATCH($A3,Experiments!$A$2:$A$61,0))),""))</ns0:f>
        <ns0:v>0.2550846338272095</ns0:v>
      </ns0:c>
    </ns0:row>
    <ns0:row r="4" ht="15" customHeight="1" s="20">
      <ns0:c r="A4" s="32" t="inlineStr">
        <ns0:is>
          <ns0:t>base-s3</ns0:t>
        </ns0:is>
      </ns0:c>
      <ns0:c r="B4" s="35">
        <ns0:f>IF($A4="","",IFERROR(IF(INDEX(Experiments!$U$2:$U$61,MATCH($A4,Experiments!$A$2:$A$61,0))="","",INDEX(Experiments!$U$2:$U$61,MATCH($A4,Experiments!$A$2:$A$61,0))),""))</ns0:f>
        <ns0:v>0.8974742367849229</ns0:v>
      </ns0:c>
      <ns0:c r="C4" s="35">
        <ns0:f>IF($A4="","",IFERROR(IF(INDEX(Experiments!$V$2:$V$61,MATCH($A4,Experiments!$A$2:$A$61,0))="","",INDEX(Experiments!$V$2:$V$61,MATCH($A4,Experiments!$A$2:$A$61,0))),""))</ns0:f>
        <ns0:v>0.8361268135471251</ns0:v>
      </ns0:c>
      <ns0:c r="D4" s="35">
        <ns0:f>IF($A4="","",IFERROR(IF(INDEX(Experiments!$Q$2:$Q$61,MATCH($A4,Experiments!$A$2:$A$61,0))="","",INDEX(Experiments!$Q$2:$Q$61,MATCH($A4,Experiments!$A$2:$A$61,0))),""))</ns0:f>
        <ns0:v>0.2505817413330078</ns0:v>
      </ns0:c>
    </ns0:row>
    <ns0:row r="5" ht="15" customHeight="1" s="20">
      <ns0:c r="A5" s="33" t="n"/>
      <ns0:c r="B5" s="35" t="str">
        <ns0:f>IF($A5="","",IFERROR(IF(INDEX(Experiments!$U$2:$U$61,MATCH($A5,Experiments!$A$2:$A$61,0))="","",INDEX(Experiments!$U$2:$U$61,MATCH($A5,Experiments!$A$2:$A$61,0))),""))</ns0:f>
        <ns0:v/>
      </ns0:c>
      <ns0:c r="C5" s="35" t="str">
        <ns0:f>IF($A5="","",IFERROR(IF(INDEX(Experiments!$V$2:$V$61,MATCH($A5,Experiments!$A$2:$A$61,0))="","",INDEX(Experiments!$V$2:$V$61,MATCH($A5,Experiments!$A$2:$A$61,0))),""))</ns0:f>
        <ns0:v/>
      </ns0:c>
      <ns0:c r="D5" s="35" t="str">
        <ns0:f>IF($A5="","",IFERROR(IF(INDEX(Experiments!$Q$2:$Q$61,MATCH($A5,Experiments!$A$2:$A$61,0))="","",INDEX(Experiments!$Q$2:$Q$61,MATCH($A5,Experiments!$A$2:$A$61,0))),""))</ns0:f>
        <ns0:v/>
      </ns0:c>
    </ns0:row>
    <ns0:row r="6" ht="15" customHeight="1" s="20">
      <ns0:c r="A6" s="33" t="n"/>
      <ns0:c r="B6" s="35" t="str">
        <ns0:f>IF($A6="","",IFERROR(IF(INDEX(Experiments!$U$2:$U$61,MATCH($A6,Experiments!$A$2:$A$61,0))="","",INDEX(Experiments!$U$2:$U$61,MATCH($A6,Experiments!$A$2:$A$61,0))),""))</ns0:f>
        <ns0:v/>
      </ns0:c>
      <ns0:c r="C6" s="35" t="str">
        <ns0:f>IF($A6="","",IFERROR(IF(INDEX(Experiments!$V$2:$V$61,MATCH($A6,Experiments!$A$2:$A$61,0))="","",INDEX(Experiments!$V$2:$V$61,MATCH($A6,Experiments!$A$2:$A$61,0))),""))</ns0:f>
        <ns0:v/>
      </ns0:c>
      <ns0:c r="D6" s="35" t="str">
        <ns0:f>IF($A6="","",IFERROR(IF(INDEX(Experiments!$Q$2:$Q$61,MATCH($A6,Experiments!$A$2:$A$61,0))="","",INDEX(Experiments!$Q$2:$Q$61,MATCH($A6,Experiments!$A$2:$A$61,0))),""))</ns0:f>
        <ns0:v/>
      </ns0:c>
    </ns0:row>
    <ns0:row r="8" ht="15" customHeight="1" s="20">
      <ns0:c r="A8" s="36" t="inlineStr">
        <ns0:is>
          <ns0:t>mean</ns0:t>
        </ns0:is>
      </ns0:c>
      <ns0:c r="B8" s="35">
        <ns0:f>IF(COUNT(B2:B6)=0,"",AVERAGE(B2:B6))</ns0:f>
        <ns0:v>0.8981124904082671</ns0:v>
      </ns0:c>
      <ns0:c r="C8" s="35">
        <ns0:f>IF(COUNT(C2:C6)=0,"",AVERAGE(C2:C6))</ns0:f>
        <ns0:v>0.8344771968520538</ns0:v>
      </ns0:c>
      <ns0:c r="D8" s="35">
        <ns0:f>IF(COUNT(D2:D6)=0,"",AVERAGE(D2:D6))</ns0:f>
        <ns0:v>0.2508104741573334</ns0:v>
      </ns0:c>
    </ns0:row>
    <ns0:row r="9" ht="15" customHeight="1" s="20">
      <ns0:c r="A9" s="36" t="inlineStr">
        <ns0:is>
          <ns0:t>std (mẫu)</ns0:t>
        </ns0:is>
      </ns0:c>
      <ns0:c r="B9" s="35">
        <ns0:f>IF(COUNT(B2:B6)&lt;2,"",STDEV(B2:B6))</ns0:f>
        <ns0:v>0.0017667943470470041</ns0:v>
      </ns0:c>
      <ns0:c r="C9" s="35">
        <ns0:f>IF(COUNT(C2:C6)&lt;2,"",STDEV(C2:C6))</ns0:f>
        <ns0:v>0.001913642233895671</ns0:v>
      </ns0:c>
      <ns0:c r="D9" s="35">
        <ns0:f>IF(COUNT(D2:D6)&lt;2,"",STDEV(D2:D6))</ns0:f>
        <ns0:v>0.004164507050733646</ns0:v>
      </ns0:c>
    </ns0:row>
    <ns0:row r="10" ht="15" customHeight="1" s="20">
      <ns0:c r="A10" s="36" t="inlineStr">
        <ns0:is>
          <ns0:t>2σ (ngưỡng nhiễu)</ns0:t>
        </ns0:is>
      </ns0:c>
      <ns0:c r="B10" s="35">
        <ns0:f>IF(B9="","",2*B9)</ns0:f>
        <ns0:v>0.0035335886940940082</ns0:v>
      </ns0:c>
      <ns0:c r="C10" s="35">
        <ns0:f>IF(C9="","",2*C9)</ns0:f>
        <ns0:v>0.003827284467791342</ns0:v>
      </ns0:c>
      <ns0:c r="D10" s="35">
        <ns0:f>IF(D9="","",2*D9)</ns0:f>
        <ns0:v>0.008329014101467292</ns0:v>
      </ns0:c>
    </ns0:row>
    <ns0:row r="12" ht="15" customHeight="1" s="20">
      <ns0:c r="A12" s="22" t="inlineStr">
        <ns0:is>
          <ns0:t>Nhập exp_id của các lần chạy baseline (khác seed) ở cột A. Cần ≥ 2 seed để có σ.</ns0:t>
        </ns0:is>
      </ns0:c>
    </ns0:row>
    <ns0:row r="13" ht="15" customHeight="1" s="20">
      <ns0:c r="A13" s="22" t="inlineStr">
        <ns0:is>
          <ns0:t>Mọi chênh lệch nhỏ hơn 2σ không được coi là bằng chứng. Với ít seed, σ chỉ là ước lượng thô; nêu rõ trong báo cáo.</ns0:t>
        </ns0:is>
      </ns0:c>
    </ns0:row>
  </ns0:sheetData>
  <ns0:printOptions horizontalCentered="0" verticalCentered="0" headings="0" gridLines="0" gridLinesSet="1"/>
  <ns0:pageMargins left="0.75" right="0.75" top="1" bottom="1" header="0.511811023622047" footer="0.511811023622047"/>
  <ns0:pageSetup orientation="portrait" paperSize="9" scale="100" fitToHeight="1" fitToWidth="1" pageOrder="downThenOver" blackAndWhite="0" draft="0" horizontalDpi="300" verticalDpi="300" copies="1"/>
</ns0:worksheet>
</file>

<file path=xl/worksheets/sheet4.xml><?xml version="1.0" encoding="utf-8"?>
<ns0:worksheet xmlns:ns0="http://schemas.openxmlformats.org/spreadsheetml/2006/main">
  <ns0:sheetPr filterMode="0">
    <ns0:outlinePr summaryBelow="1" summaryRight="1"/>
    <ns0:pageSetUpPr fitToPage="0"/>
  </ns0:sheetPr>
  <ns0:dimension ref="A1:H14"/>
  <ns0:sheetViews>
    <ns0: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ns0:selection pane="topLeft" activeCell="A1" activeCellId="0" sqref="A1"/>
    </ns0:sheetView>
  </ns0:sheetViews>
  <ns0:sheetFormatPr baseColWidth="8" defaultColWidth="8.6796875" defaultRowHeight="15" customHeight="0" zeroHeight="0" outlineLevelRow="0"/>
  <ns0:cols>
    <ns0:col width="12" customWidth="1" style="19" min="1" max="1"/>
    <ns0:col width="10" customWidth="1" style="19" min="2" max="2"/>
    <ns0:col width="16" customWidth="1" style="19" min="3" max="5"/>
    <ns0:col width="14" customWidth="1" style="19" min="6" max="6"/>
    <ns0:col width="16" customWidth="1" style="19" min="7" max="7"/>
    <ns0:col width="50" customWidth="1" style="19" min="8" max="8"/>
  </ns0:cols>
  <ns0:sheetData>
    <ns0:row r="1" ht="31.5" customHeight="1" s="20">
      <ns0:c r="A1" s="27" t="inlineStr">
        <ns0:is>
          <ns0:t>group</ns0:t>
        </ns0:is>
      </ns0:c>
      <ns0:c r="B1" s="27" t="inlineStr">
        <ns0:is>
          <ns0:t>số dòng</ns0:t>
        </ns0:is>
      </ns0:c>
      <ns0:c r="C1" s="27" t="inlineStr">
        <ns0:is>
          <ns0:t>đã điền val_macro_f1</ns0:t>
        </ns0:is>
      </ns0:c>
      <ns0:c r="D1" s="27" t="inlineStr">
        <ns0:is>
          <ns0:t>val_macro_f1 cao nhất</ns0:t>
        </ns0:is>
      </ns0:c>
      <ns0:c r="E1" s="27" t="inlineStr">
        <ns0:is>
          <ns0:t>val_macro_f1 thấp nhất</ns0:t>
        </ns0:is>
      </ns0:c>
      <ns0:c r="F1" s="27" t="inlineStr">
        <ns0:is>
          <ns0:t>val_acc cao nhất</ns0:t>
        </ns0:is>
      </ns0:c>
      <ns0:c r="G1" s="27" t="inlineStr">
        <ns0:is>
          <ns0:t>đã thử chủ đề này?</ns0:t>
        </ns0:is>
      </ns0:c>
      <ns0:c r="H1" s="27" t="inlineStr">
        <ns0:is>
          <ns0:t>nhận xét ngắn (bạn viết)</ns0:t>
        </ns0:is>
      </ns0:c>
    </ns0:row>
    <ns0:row r="2" ht="15" customHeight="1" s="20">
      <ns0:c r="A2" s="31" t="inlineStr">
        <ns0:is>
          <ns0:t>baseline</ns0:t>
        </ns0:is>
      </ns0:c>
      <ns0:c r="B2" s="37">
        <ns0:f>COUNTIF(Experiments!$B$2:$B$61,A2)</ns0:f>
        <ns0:v>3</ns0:v>
      </ns0:c>
      <ns0:c r="C2" s="37">
        <ns0:f>COUNTIFS(Experiments!$B$2:$B$61,A2,Experiments!$V$2:$V$61,"&lt;&gt;")</ns0:f>
        <ns0:v>3</ns0:v>
      </ns0:c>
      <ns0:c r="D2" s="35">
        <ns0:f>IF(C2=0,"",_xlfn.MAXIFS(Experiments!$V$2:$V$61,Experiments!$B$2:$B$61,A2))</ns0:f>
        <ns0:v>0.8361268135471251</ns0:v>
      </ns0:c>
      <ns0:c r="E2" s="35">
        <ns0:f>IF(C2=0,"",_xlfn.MINIFS(Experiments!$V$2:$V$61,Experiments!$B$2:$B$61,A2))</ns0:f>
        <ns0:v>0.8323791641845902</ns0:v>
      </ns0:c>
      <ns0:c r="F2" s="35">
        <ns0:f>IF(C2=0,"",_xlfn.MAXIFS(Experiments!$U$2:$U$61,Experiments!$B$2:$B$61,A2))</ns0:f>
        <ns0:v>0.9001097222521031</ns0:v>
      </ns0:c>
      <ns0:c r="G2" s="37" t="inlineStr">
        <ns0:is>
          <ns0:t>—</ns0:t>
        </ns0:is>
      </ns0:c>
      <ns0:c r="H2" s="38" t="inlineStr">
        <ns0:is>
          <ns0:t>Best: base-s3, F1=0.836127; compare against 2σ=0.003827.</ns0:t>
        </ns0:is>
      </ns0:c>
    </ns0:row>
    <ns0:row r="3" ht="15" customHeight="1" s="20">
      <ns0:c r="A3" s="31" t="inlineStr">
        <ns0:is>
          <ns0:t>loss</ns0:t>
        </ns0:is>
      </ns0:c>
      <ns0:c r="B3" s="37">
        <ns0:f>COUNTIF(Experiments!$B$2:$B$61,A3)</ns0:f>
        <ns0:v>1</ns0:v>
      </ns0:c>
      <ns0:c r="C3" s="37">
        <ns0:f>COUNTIFS(Experiments!$B$2:$B$61,A3,Experiments!$V$2:$V$61,"&lt;&gt;")</ns0:f>
        <ns0:v>1</ns0:v>
      </ns0:c>
      <ns0:c r="D3" s="35">
        <ns0:f>IF(C3=0,"",_xlfn.MAXIFS(Experiments!$V$2:$V$61,Experiments!$B$2:$B$61,A3))</ns0:f>
        <ns0:v>0.6964788540927839</ns0:v>
      </ns0:c>
      <ns0:c r="E3" s="35">
        <ns0:f>IF(C3=0,"",_xlfn.MINIFS(Experiments!$V$2:$V$61,Experiments!$B$2:$B$61,A3))</ns0:f>
        <ns0:v>0.6964788540927839</ns0:v>
      </ns0:c>
      <ns0:c r="F3" s="35">
        <ns0:f>IF(C3=0,"",_xlfn.MAXIFS(Experiments!$U$2:$U$61,Experiments!$B$2:$B$61,A3))</ns0:f>
        <ns0:v>0.8546072588799725</ns0:v>
      </ns0:c>
      <ns0:c r="G3" s="37" t="str">
        <ns0:f>IF(C3&gt;0,"Có","Chưa")</ns0:f>
        <ns0:v>Có</ns0:v>
      </ns0:c>
      <ns0:c r="H3" s="38" t="inlineStr">
        <ns0:is>
          <ns0:t>Best: loss-mse, F1=0.696479; compare against 2σ=0.003827.</ns0:t>
        </ns0:is>
      </ns0:c>
    </ns0:row>
    <ns0:row r="4" ht="15" customHeight="1" s="20">
      <ns0:c r="A4" s="31" t="inlineStr">
        <ns0:is>
          <ns0:t>optimizer</ns0:t>
        </ns0:is>
      </ns0:c>
      <ns0:c r="B4" s="37">
        <ns0:f>COUNTIF(Experiments!$B$2:$B$61,A4)</ns0:f>
        <ns0:v>3</ns0:v>
      </ns0:c>
      <ns0:c r="C4" s="37">
        <ns0:f>COUNTIFS(Experiments!$B$2:$B$61,A4,Experiments!$V$2:$V$61,"&lt;&gt;")</ns0:f>
        <ns0:v>3</ns0:v>
      </ns0:c>
      <ns0:c r="D4" s="35">
        <ns0:f>IF(C4=0,"",_xlfn.MAXIFS(Experiments!$V$2:$V$61,Experiments!$B$2:$B$61,A4))</ns0:f>
        <ns0:v>0.8687706103378063</ns0:v>
      </ns0:c>
      <ns0:c r="E4" s="35">
        <ns0:f>IF(C4=0,"",_xlfn.MINIFS(Experiments!$V$2:$V$61,Experiments!$B$2:$B$61,A4))</ns0:f>
        <ns0:v>0.7600586231960794</ns0:v>
      </ns0:c>
      <ns0:c r="F4" s="35">
        <ns0:f>IF(C4=0,"",_xlfn.MAXIFS(Experiments!$U$2:$U$61,Experiments!$B$2:$B$61,A4))</ns0:f>
        <ns0:v>0.9145457283621264</ns0:v>
      </ns0:c>
      <ns0:c r="G4" s="37" t="str">
        <ns0:f>IF(C4&gt;0,"Có","Chưa")</ns0:f>
        <ns0:v>Có</ns0:v>
      </ns0:c>
      <ns0:c r="H4" s="38" t="inlineStr">
        <ns0:is>
          <ns0:t>Best: opt-adam-lr0.003, F1=0.868771; compare against 2σ=0.003827.</ns0:t>
        </ns0:is>
      </ns0:c>
    </ns0:row>
    <ns0:row r="5" ht="15" customHeight="1" s="20">
      <ns0:c r="A5" s="31" t="inlineStr">
        <ns0:is>
          <ns0:t>hparam</ns0:t>
        </ns0:is>
      </ns0:c>
      <ns0:c r="B5" s="37">
        <ns0:f>COUNTIF(Experiments!$B$2:$B$61,A5)</ns0:f>
        <ns0:v>1</ns0:v>
      </ns0:c>
      <ns0:c r="C5" s="37">
        <ns0:f>COUNTIFS(Experiments!$B$2:$B$61,A5,Experiments!$V$2:$V$61,"&lt;&gt;")</ns0:f>
        <ns0:v>1</ns0:v>
      </ns0:c>
      <ns0:c r="D5" s="35">
        <ns0:f>IF(C5=0,"",_xlfn.MAXIFS(Experiments!$V$2:$V$61,Experiments!$B$2:$B$61,A5))</ns0:f>
        <ns0:v>0.8611966329751957</ns0:v>
      </ns0:c>
      <ns0:c r="E5" s="35">
        <ns0:f>IF(C5=0,"",_xlfn.MINIFS(Experiments!$V$2:$V$61,Experiments!$B$2:$B$61,A5))</ns0:f>
        <ns0:v>0.8611966329751957</ns0:v>
      </ns0:c>
      <ns0:c r="F5" s="35">
        <ns0:f>IF(C5=0,"",_xlfn.MAXIFS(Experiments!$U$2:$U$61,Experiments!$B$2:$B$61,A5))</ns0:f>
        <ns0:v>0.910554850368968</ns0:v>
      </ns0:c>
      <ns0:c r="G5" s="37" t="str">
        <ns0:f>IF(C5&gt;0,"Có","Chưa")</ns0:f>
        <ns0:v>Có</ns0:v>
      </ns0:c>
      <ns0:c r="H5" s="38" t="inlineStr">
        <ns0:is>
          <ns0:t>Best: batch-256, F1=0.861197; compare against 2σ=0.003827.</ns0:t>
        </ns0:is>
      </ns0:c>
    </ns0:row>
    <ns0:row r="6" ht="15" customHeight="1" s="20">
      <ns0:c r="A6" s="31" t="inlineStr">
        <ns0:is>
          <ns0:t>dropout</ns0:t>
        </ns0:is>
      </ns0:c>
      <ns0:c r="B6" s="37">
        <ns0:f>COUNTIF(Experiments!$B$2:$B$61,A6)</ns0:f>
        <ns0:v>1</ns0:v>
      </ns0:c>
      <ns0:c r="C6" s="37">
        <ns0:f>COUNTIFS(Experiments!$B$2:$B$61,A6,Experiments!$V$2:$V$61,"&lt;&gt;")</ns0:f>
        <ns0:v>1</ns0:v>
      </ns0:c>
      <ns0:c r="D6" s="35">
        <ns0:f>IF(C6=0,"",_xlfn.MAXIFS(Experiments!$V$2:$V$61,Experiments!$B$2:$B$61,A6))</ns0:f>
        <ns0:v>0.8277729895823303</ns0:v>
      </ns0:c>
      <ns0:c r="E6" s="35">
        <ns0:f>IF(C6=0,"",_xlfn.MINIFS(Experiments!$V$2:$V$61,Experiments!$B$2:$B$61,A6))</ns0:f>
        <ns0:v>0.8277729895823303</ns0:v>
      </ns0:c>
      <ns0:c r="F6" s="35">
        <ns0:f>IF(C6=0,"",_xlfn.MAXIFS(Experiments!$U$2:$U$61,Experiments!$B$2:$B$61,A6))</ns0:f>
        <ns0:v>0.8899550353908049</ns0:v>
      </ns0:c>
      <ns0:c r="G6" s="37" t="str">
        <ns0:f>IF(C6&gt;0,"Có","Chưa")</ns0:f>
        <ns0:v>Có</ns0:v>
      </ns0:c>
      <ns0:c r="H6" s="38" t="inlineStr">
        <ns0:is>
          <ns0:t>Best: drop-01, F1=0.827773; compare against 2σ=0.003827.</ns0:t>
        </ns0:is>
      </ns0:c>
    </ns0:row>
    <ns0:row r="7" ht="15" customHeight="1" s="20">
      <ns0:c r="A7" s="31" t="inlineStr">
        <ns0:is>
          <ns0:t>clipping</ns0:t>
        </ns0:is>
      </ns0:c>
      <ns0:c r="B7" s="37">
        <ns0:f>COUNTIF(Experiments!$B$2:$B$61,A7)</ns0:f>
        <ns0:v>3</ns0:v>
      </ns0:c>
      <ns0:c r="C7" s="37">
        <ns0:f>COUNTIFS(Experiments!$B$2:$B$61,A7,Experiments!$V$2:$V$61,"&lt;&gt;")</ns0:f>
        <ns0:v>3</ns0:v>
      </ns0:c>
      <ns0:c r="D7" s="35">
        <ns0:f>IF(C7=0,"",_xlfn.MAXIFS(Experiments!$V$2:$V$61,Experiments!$B$2:$B$61,A7))</ns0:f>
        <ns0:v>0.8552435976014819</ns0:v>
      </ns0:c>
      <ns0:c r="E7" s="35">
        <ns0:f>IF(C7=0,"",_xlfn.MINIFS(Experiments!$V$2:$V$61,Experiments!$B$2:$B$61,A7))</ns0:f>
        <ns0:v>0.8324369582860225</ns0:v>
      </ns0:c>
      <ns0:c r="F7" s="35">
        <ns0:f>IF(C7=0,"",_xlfn.MAXIFS(Experiments!$U$2:$U$61,Experiments!$B$2:$B$61,A7))</ns0:f>
        <ns0:v>0.9095544415997935</ns0:v>
      </ns0:c>
      <ns0:c r="G7" s="37" t="str">
        <ns0:f>IF(C7&gt;0,"Có","Chưa")</ns0:f>
        <ns0:v>Có</ns0:v>
      </ns0:c>
      <ns0:c r="H7" s="38" t="inlineStr">
        <ns0:is>
          <ns0:t>Best: highlr-clip, F1=0.855244; compare against 2σ=0.003827.</ns0:t>
        </ns0:is>
      </ns0:c>
    </ns0:row>
    <ns0:row r="8" ht="15" customHeight="1" s="20">
      <ns0:c r="A8" s="31" t="inlineStr">
        <ns0:is>
          <ns0:t>amp</ns0:t>
        </ns0:is>
      </ns0:c>
      <ns0:c r="B8" s="37">
        <ns0:f>COUNTIF(Experiments!$B$2:$B$61,A8)</ns0:f>
        <ns0:v>2</ns0:v>
      </ns0:c>
      <ns0:c r="C8" s="37">
        <ns0:f>COUNTIFS(Experiments!$B$2:$B$61,A8,Experiments!$V$2:$V$61,"&lt;&gt;")</ns0:f>
        <ns0:v>2</ns0:v>
      </ns0:c>
      <ns0:c r="D8" s="35">
        <ns0:f>IF(C8=0,"",_xlfn.MAXIFS(Experiments!$V$2:$V$61,Experiments!$B$2:$B$61,A8))</ns0:f>
        <ns0:v>0.8440105696593053</ns0:v>
      </ns0:c>
      <ns0:c r="E8" s="35">
        <ns0:f>IF(C8=0,"",_xlfn.MINIFS(Experiments!$V$2:$V$61,Experiments!$B$2:$B$61,A8))</ns0:f>
        <ns0:v>0.8420372151229235</ns0:v>
      </ns0:c>
      <ns0:c r="F8" s="35">
        <ns0:f>IF(C8=0,"",_xlfn.MAXIFS(Experiments!$U$2:$U$61,Experiments!$B$2:$B$61,A8))</ns0:f>
        <ns0:v>0.9020675114562939</ns0:v>
      </ns0:c>
      <ns0:c r="G8" s="37" t="str">
        <ns0:f>IF(C8&gt;0,"Có","Chưa")</ns0:f>
        <ns0:v>Có</ns0:v>
      </ns0:c>
      <ns0:c r="H8" s="38" t="inlineStr">
        <ns0:is>
          <ns0:t>Best: amp-bf16, F1=0.844011; compare against 2σ=0.003827.</ns0:t>
        </ns0:is>
      </ns0:c>
    </ns0:row>
    <ns0:row r="9" ht="15" customHeight="1" s="20">
      <ns0:c r="A9" s="31" t="inlineStr">
        <ns0:is>
          <ns0:t>init</ns0:t>
        </ns0:is>
      </ns0:c>
      <ns0:c r="B9" s="37">
        <ns0:f>COUNTIF(Experiments!$B$2:$B$61,A9)</ns0:f>
        <ns0:v>3</ns0:v>
      </ns0:c>
      <ns0:c r="C9" s="37">
        <ns0:f>COUNTIFS(Experiments!$B$2:$B$61,A9,Experiments!$V$2:$V$61,"&lt;&gt;")</ns0:f>
        <ns0:v>3</ns0:v>
      </ns0:c>
      <ns0:c r="D9" s="35">
        <ns0:f>IF(C9=0,"",_xlfn.MAXIFS(Experiments!$V$2:$V$61,Experiments!$B$2:$B$61,A9))</ns0:f>
        <ns0:v>0.8283016082243229</ns0:v>
      </ns0:c>
      <ns0:c r="E9" s="35">
        <ns0:f>IF(C9=0,"",_xlfn.MINIFS(Experiments!$V$2:$V$61,Experiments!$B$2:$B$61,A9))</ns0:f>
        <ns0:v>0.09364999018625456</ns0:v>
      </ns0:c>
      <ns0:c r="F9" s="35">
        <ns0:f>IF(C9=0,"",_xlfn.MAXIFS(Experiments!$U$2:$U$61,Experiments!$B$2:$B$61,A9))</ns0:f>
        <ns0:v>0.8963232288461952</ns0:v>
      </ns0:c>
      <ns0:c r="G9" s="37" t="str">
        <ns0:f>IF(C9&gt;0,"Có","Chưa")</ns0:f>
        <ns0:v>Có</ns0:v>
      </ns0:c>
      <ns0:c r="H9" s="38" t="inlineStr">
        <ns0:is>
          <ns0:t>Best: init-xavier, F1=0.828302; compare against 2σ=0.003827.</ns0:t>
        </ns0:is>
      </ns0:c>
    </ns0:row>
    <ns0:row r="10" ht="15" customHeight="1" s="20">
      <ns0:c r="A10" s="31" t="inlineStr">
        <ns0:is>
          <ns0:t>final</ns0:t>
        </ns0:is>
      </ns0:c>
      <ns0:c r="B10" s="37">
        <ns0:f>COUNTIF(Experiments!$B$2:$B$61,A10)</ns0:f>
        <ns0:v>0</ns0:v>
      </ns0:c>
      <ns0:c r="C10" s="37">
        <ns0:f>COUNTIFS(Experiments!$B$2:$B$61,A10,Experiments!$V$2:$V$61,"&lt;&gt;")</ns0:f>
        <ns0:v>0</ns0:v>
      </ns0:c>
      <ns0:c r="D10" s="35" t="str">
        <ns0:f>IF(C10=0,"",_xlfn.MAXIFS(Experiments!$V$2:$V$61,Experiments!$B$2:$B$61,A10))</ns0:f>
        <ns0:v/>
      </ns0:c>
      <ns0:c r="E10" s="35" t="str">
        <ns0:f>IF(C10=0,"",_xlfn.MINIFS(Experiments!$V$2:$V$61,Experiments!$B$2:$B$61,A10))</ns0:f>
        <ns0:v/>
      </ns0:c>
      <ns0:c r="F10" s="35" t="str">
        <ns0:f>IF(C10=0,"",_xlfn.MAXIFS(Experiments!$U$2:$U$61,Experiments!$B$2:$B$61,A10))</ns0:f>
        <ns0:v/>
      </ns0:c>
      <ns0:c r="G10" s="37" t="inlineStr">
        <ns0:is>
          <ns0:t>—</ns0:t>
        </ns0:is>
      </ns0:c>
      <ns0:c r="H10" s="38" t="n"/>
    </ns0:row>
    <ns0:row r="11" ht="15" customHeight="1" s="20">
      <ns0:c r="A11" s="31" t="inlineStr">
        <ns0:is>
          <ns0:t>other</ns0:t>
        </ns0:is>
      </ns0:c>
      <ns0:c r="B11" s="37">
        <ns0:f>COUNTIF(Experiments!$B$2:$B$61,A11)</ns0:f>
        <ns0:v>0</ns0:v>
      </ns0:c>
      <ns0:c r="C11" s="37">
        <ns0:f>COUNTIFS(Experiments!$B$2:$B$61,A11,Experiments!$V$2:$V$61,"&lt;&gt;")</ns0:f>
        <ns0:v>0</ns0:v>
      </ns0:c>
      <ns0:c r="D11" s="35" t="str">
        <ns0:f>IF(C11=0,"",_xlfn.MAXIFS(Experiments!$V$2:$V$61,Experiments!$B$2:$B$61,A11))</ns0:f>
        <ns0:v/>
      </ns0:c>
      <ns0:c r="E11" s="35" t="str">
        <ns0:f>IF(C11=0,"",_xlfn.MINIFS(Experiments!$V$2:$V$61,Experiments!$B$2:$B$61,A11))</ns0:f>
        <ns0:v/>
      </ns0:c>
      <ns0:c r="F11" s="35" t="str">
        <ns0:f>IF(C11=0,"",_xlfn.MAXIFS(Experiments!$U$2:$U$61,Experiments!$B$2:$B$61,A11))</ns0:f>
        <ns0:v/>
      </ns0:c>
      <ns0:c r="G11" s="37" t="inlineStr">
        <ns0:is>
          <ns0:t>—</ns0:t>
        </ns0:is>
      </ns0:c>
      <ns0:c r="H11" s="38" t="n"/>
    </ns0:row>
    <ns0:row r="13" ht="15" customHeight="1" s="20">
      <ns0:c r="A13" s="23" t="inlineStr">
        <ns0:is>
          <ns0:t>Số chủ đề (trong 7) đã thử:</ns0:t>
        </ns0:is>
      </ns0:c>
      <ns0:c r="D13" s="23">
        <ns0:f>COUNTIF(G2:G11,"Có")</ns0:f>
        <ns0:v>7</ns0:v>
      </ns0:c>
    </ns0:row>
    <ns0:row r="14" ht="15" customHeight="1" s="20">
      <ns0:c r="A14" s="22" t="inlineStr">
        <ns0:is>
          <ns0:t>7 chủ đề: loss, optimizer, hparam, dropout, clipping, amp, init. Một chủ đề 'đã thử' khi có ≥ 1 dòng có val_macro_f1.</ns0:t>
        </ns0:is>
      </ns0:c>
    </ns0:row>
  </ns0:sheetData>
  <ns0:printOptions horizontalCentered="0" verticalCentered="0" headings="0" gridLines="0" gridLinesSet="1"/>
  <ns0:pageMargins left="0.75" right="0.75" top="1" bottom="1" header="0.511811023622047" footer="0.511811023622047"/>
  <ns0:pageSetup orientation="portrait" paperSize="9" scale="100" fitToHeight="1" fitToWidth="1" pageOrder="downThenOver" blackAndWhite="0" draft="0" horizontalDpi="300" verticalDpi="300" copies="1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2026-10-02T03:40:32Z</dcterms:created>
  <dcterms:modified xmlns:dcterms="http://purl.org/dc/terms/" xmlns:xsi="http://www.w3.org/2001/XMLSchema-instance" xsi:type="dcterms:W3CDTF">2026-10-03T06:40:22Z</dcterms:modified>
  <cp:revision>0</cp:revision>
</cp:coreProperties>
</file>